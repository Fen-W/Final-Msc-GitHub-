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custardcream/Downloads/Github/evaluation/"/>
    </mc:Choice>
  </mc:AlternateContent>
  <xr:revisionPtr revIDLastSave="0" documentId="13_ncr:1_{F9A2C6B4-8357-A84F-B38D-5B54BF58F27C}" xr6:coauthVersionLast="47" xr6:coauthVersionMax="47" xr10:uidLastSave="{00000000-0000-0000-0000-000000000000}"/>
  <bookViews>
    <workbookView xWindow="0" yWindow="0" windowWidth="28800" windowHeight="18000" activeTab="1" xr2:uid="{00000000-000D-0000-FFFF-FFFF00000000}"/>
  </bookViews>
  <sheets>
    <sheet name="Overview" sheetId="1" r:id="rId1"/>
    <sheet name="System 1 v2" sheetId="2" r:id="rId2"/>
    <sheet name="System 2 v2" sheetId="3" r:id="rId3"/>
    <sheet name="System 3 v2" sheetId="4" r:id="rId4"/>
    <sheet name="System 4 v2"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7" i="5" l="1"/>
  <c r="X28" i="5"/>
  <c r="Y29" i="5"/>
  <c r="X25" i="5"/>
  <c r="Y25" i="5" s="1"/>
  <c r="X24" i="5"/>
  <c r="Y24" i="5" s="1"/>
  <c r="X23" i="5"/>
  <c r="Y23" i="5" s="1"/>
  <c r="X22" i="5"/>
  <c r="C8" i="1" s="1"/>
  <c r="X21" i="5"/>
  <c r="Y21" i="5" s="1"/>
  <c r="X20" i="5"/>
  <c r="Y20" i="5" s="1"/>
  <c r="X19" i="5"/>
  <c r="Y19" i="5" s="1"/>
  <c r="X18" i="5"/>
  <c r="Y18" i="5" s="1"/>
  <c r="X17" i="5"/>
  <c r="Y17" i="5" s="1"/>
  <c r="X16" i="5"/>
  <c r="Y16" i="5" s="1"/>
  <c r="X15" i="5"/>
  <c r="Y15" i="5" s="1"/>
  <c r="X14" i="5"/>
  <c r="Y14" i="5" s="1"/>
  <c r="X13" i="5"/>
  <c r="Y13" i="5" s="1"/>
  <c r="X12" i="5"/>
  <c r="Y12" i="5" s="1"/>
  <c r="X11" i="5"/>
  <c r="Y11" i="5" s="1"/>
  <c r="X10" i="5"/>
  <c r="Y10" i="5" s="1"/>
  <c r="X9" i="5"/>
  <c r="Y9" i="5" s="1"/>
  <c r="X8" i="5"/>
  <c r="Y8" i="5" s="1"/>
  <c r="X7" i="5"/>
  <c r="Y7" i="5" s="1"/>
  <c r="X6" i="5"/>
  <c r="Y6" i="5" s="1"/>
  <c r="X25" i="4"/>
  <c r="Y25" i="4" s="1"/>
  <c r="Y24" i="4"/>
  <c r="X24" i="4"/>
  <c r="X23" i="4"/>
  <c r="X28" i="4" s="1"/>
  <c r="C7" i="1" s="1"/>
  <c r="Y22" i="4"/>
  <c r="X22" i="4"/>
  <c r="X21" i="4"/>
  <c r="Y21" i="4" s="1"/>
  <c r="Y20" i="4"/>
  <c r="X20" i="4"/>
  <c r="X19" i="4"/>
  <c r="Y19" i="4" s="1"/>
  <c r="Y18" i="4"/>
  <c r="X18" i="4"/>
  <c r="X17" i="4"/>
  <c r="Y17" i="4" s="1"/>
  <c r="Y16" i="4"/>
  <c r="X16" i="4"/>
  <c r="X15" i="4"/>
  <c r="Y15" i="4" s="1"/>
  <c r="Y14" i="4"/>
  <c r="X14" i="4"/>
  <c r="X13" i="4"/>
  <c r="Y13" i="4" s="1"/>
  <c r="Y12" i="4"/>
  <c r="X12" i="4"/>
  <c r="X11" i="4"/>
  <c r="Y11" i="4" s="1"/>
  <c r="Y10" i="4"/>
  <c r="X10" i="4"/>
  <c r="X9" i="4"/>
  <c r="Y9" i="4" s="1"/>
  <c r="Y8" i="4"/>
  <c r="X8" i="4"/>
  <c r="X7" i="4"/>
  <c r="Y7" i="4" s="1"/>
  <c r="Y6" i="4"/>
  <c r="X6" i="4"/>
  <c r="X27" i="4" s="1"/>
  <c r="B7" i="1" s="1"/>
  <c r="X25" i="2"/>
  <c r="Y25" i="2" s="1"/>
  <c r="X24" i="2"/>
  <c r="Y24" i="2" s="1"/>
  <c r="X23" i="2"/>
  <c r="Y23" i="2" s="1"/>
  <c r="X22" i="2"/>
  <c r="X28" i="2" s="1"/>
  <c r="C5" i="1" s="1"/>
  <c r="X21" i="2"/>
  <c r="Y21" i="2" s="1"/>
  <c r="X20" i="2"/>
  <c r="Y20" i="2" s="1"/>
  <c r="X19" i="2"/>
  <c r="Y19" i="2" s="1"/>
  <c r="X18" i="2"/>
  <c r="Y18" i="2" s="1"/>
  <c r="X17" i="2"/>
  <c r="Y17" i="2" s="1"/>
  <c r="X16" i="2"/>
  <c r="Y16" i="2" s="1"/>
  <c r="X15" i="2"/>
  <c r="Y15" i="2" s="1"/>
  <c r="X14" i="2"/>
  <c r="Y14" i="2" s="1"/>
  <c r="X13" i="2"/>
  <c r="Y13" i="2" s="1"/>
  <c r="X12" i="2"/>
  <c r="Y12" i="2" s="1"/>
  <c r="X11" i="2"/>
  <c r="Y11" i="2" s="1"/>
  <c r="X10" i="2"/>
  <c r="Y10" i="2" s="1"/>
  <c r="X9" i="2"/>
  <c r="Y9" i="2" s="1"/>
  <c r="X8" i="2"/>
  <c r="Y8" i="2" s="1"/>
  <c r="X7" i="2"/>
  <c r="Y7" i="2" s="1"/>
  <c r="X6" i="2"/>
  <c r="X27" i="2" s="1"/>
  <c r="B5" i="1" s="1"/>
  <c r="H16" i="1"/>
  <c r="G16" i="1"/>
  <c r="F16" i="1"/>
  <c r="E16" i="1"/>
  <c r="D16" i="1"/>
  <c r="C16" i="1"/>
  <c r="B16" i="1"/>
  <c r="H15" i="1"/>
  <c r="G15" i="1"/>
  <c r="F15" i="1"/>
  <c r="E15" i="1"/>
  <c r="D15" i="1"/>
  <c r="C15" i="1"/>
  <c r="B15" i="1"/>
  <c r="H14" i="1"/>
  <c r="G14" i="1"/>
  <c r="F14" i="1"/>
  <c r="E14" i="1"/>
  <c r="D14" i="1"/>
  <c r="C14" i="1"/>
  <c r="B14" i="1"/>
  <c r="H13" i="1"/>
  <c r="G13" i="1"/>
  <c r="F13" i="1"/>
  <c r="E13" i="1"/>
  <c r="D13" i="1"/>
  <c r="C13" i="1"/>
  <c r="B13" i="1"/>
  <c r="Y25" i="3"/>
  <c r="X25" i="3"/>
  <c r="X24" i="3"/>
  <c r="Y24" i="3" s="1"/>
  <c r="Y23" i="3"/>
  <c r="X23" i="3"/>
  <c r="X22" i="3"/>
  <c r="X28" i="3" s="1"/>
  <c r="C6" i="1" s="1"/>
  <c r="Y21" i="3"/>
  <c r="X21" i="3"/>
  <c r="X20" i="3"/>
  <c r="Y20" i="3" s="1"/>
  <c r="Y19" i="3"/>
  <c r="X19" i="3"/>
  <c r="X18" i="3"/>
  <c r="Y18" i="3" s="1"/>
  <c r="Y17" i="3"/>
  <c r="X17" i="3"/>
  <c r="X16" i="3"/>
  <c r="Y16" i="3" s="1"/>
  <c r="Y15" i="3"/>
  <c r="X15" i="3"/>
  <c r="X14" i="3"/>
  <c r="Y14" i="3" s="1"/>
  <c r="Y13" i="3"/>
  <c r="X13" i="3"/>
  <c r="X12" i="3"/>
  <c r="Y12" i="3" s="1"/>
  <c r="Y11" i="3"/>
  <c r="X11" i="3"/>
  <c r="X10" i="3"/>
  <c r="Y10" i="3" s="1"/>
  <c r="Y9" i="3"/>
  <c r="X9" i="3"/>
  <c r="X8" i="3"/>
  <c r="Y8" i="3" s="1"/>
  <c r="Y7" i="3"/>
  <c r="X7" i="3"/>
  <c r="X6" i="3"/>
  <c r="Y6" i="3" s="1"/>
  <c r="X27" i="3" l="1"/>
  <c r="B6" i="1" s="1"/>
  <c r="Y6" i="2"/>
  <c r="Y22" i="2"/>
  <c r="Y22" i="3"/>
  <c r="Y29" i="3" s="1"/>
  <c r="D6" i="1" s="1"/>
  <c r="Y23" i="4"/>
  <c r="Y29" i="4" s="1"/>
  <c r="D7" i="1" s="1"/>
  <c r="B8" i="1"/>
  <c r="Y22" i="5"/>
  <c r="D8" i="1" s="1"/>
  <c r="Y29" i="2" l="1"/>
  <c r="D5" i="1" s="1"/>
</calcChain>
</file>

<file path=xl/sharedStrings.xml><?xml version="1.0" encoding="utf-8"?>
<sst xmlns="http://schemas.openxmlformats.org/spreadsheetml/2006/main" count="1264" uniqueCount="491">
  <si>
    <t>EXPECTED EVIDENCE</t>
  </si>
  <si>
    <t>WHAT THE SYSTEM DID</t>
  </si>
  <si>
    <t>SCORING</t>
  </si>
  <si>
    <t>Q ID</t>
  </si>
  <si>
    <t>Category</t>
  </si>
  <si>
    <t>Difficulty</t>
  </si>
  <si>
    <t>Topic area</t>
  </si>
  <si>
    <t>Question</t>
  </si>
  <si>
    <t>Expected corpus documents</t>
  </si>
  <si>
    <t>Expected uncertainty / disagreement</t>
  </si>
  <si>
    <t>Expected good behaviour</t>
  </si>
  <si>
    <t>Retrieved chunk IDs</t>
  </si>
  <si>
    <t>Invalid citations</t>
  </si>
  <si>
    <t>Words</t>
  </si>
  <si>
    <t>Seconds</t>
  </si>
  <si>
    <t>In tokens</t>
  </si>
  <si>
    <t>Out tokens</t>
  </si>
  <si>
    <t>Cost (USD)</t>
  </si>
  <si>
    <t>R</t>
  </si>
  <si>
    <t>F</t>
  </si>
  <si>
    <t>G</t>
  </si>
  <si>
    <t>S</t>
  </si>
  <si>
    <t>D</t>
  </si>
  <si>
    <t>U</t>
  </si>
  <si>
    <t>P</t>
  </si>
  <si>
    <t>Out of</t>
  </si>
  <si>
    <t>Total</t>
  </si>
  <si>
    <t>%</t>
  </si>
  <si>
    <t>Scoring comments</t>
  </si>
  <si>
    <t>Actual system output</t>
  </si>
  <si>
    <t>Paid tokens</t>
  </si>
  <si>
    <t>Audit run ID</t>
  </si>
  <si>
    <t>Q01</t>
  </si>
  <si>
    <t>Direct evidence retrieval</t>
  </si>
  <si>
    <t>Easy</t>
  </si>
  <si>
    <t>Sources / emissions</t>
  </si>
  <si>
    <t>What are the main sources of atmospheric microplastics and which should be considered when considering emission-reduction policy interventions?</t>
  </si>
  <si>
    <t>DOC003,DOC002 DOC55DOC45 DOC52 DOC038 DOC05 DOC011 DOC29</t>
  </si>
  <si>
    <t>Ther is some ambiguaty between parctile cizing as there is no stnadardised micropasitcs sizing method. They change with the method used and the testing envriomnet.</t>
  </si>
  <si>
    <t>Accurately identifies major sources and makes clear where the corpus does or does not support prioritisation. Aswell as not giving a ranking as a ranking of the different methods is not given in the coupus.</t>
  </si>
  <si>
    <t>DOC046::chunk::29; DOC012::chunk::187; DOC052::chunk::33; DOC003::chunk::172; DOC108::chunk::284; DOC029::chunk::8</t>
  </si>
  <si>
    <t>none</t>
  </si>
  <si>
    <t>c8f44b1e-242c-43c7-ac37-e18f1852b725</t>
  </si>
  <si>
    <t>Q02</t>
  </si>
  <si>
    <t>Measurement / monitoring</t>
  </si>
  <si>
    <t>What measurement approaches are used for atmospheric microplastics, and what are the implications for policy design?</t>
  </si>
  <si>
    <t>DOC109 DOC 030DOC111 DOC095 DOC017</t>
  </si>
  <si>
    <t>Lack of standardisation, differing size thresholds  and montering systesm so the answer should considers this when comparing diffent aproaches .</t>
  </si>
  <si>
    <t>Should separate identifcation and collection sections and desigus the comparitbilty between studies and the fact that is is limited and ther is no standised montering system in the courpus</t>
  </si>
  <si>
    <t>DOC030::chunk::2; DOC078::chunk::271; DOC014::chunk::179; DOC041::chunk::32; DOC078::chunk::232; DOC095::chunk::63</t>
  </si>
  <si>
    <t>d3e4eb51-9226-4be1-8850-d071ae64556c</t>
  </si>
  <si>
    <t>Q03</t>
  </si>
  <si>
    <t>Medium</t>
  </si>
  <si>
    <t>Transport / deposition</t>
  </si>
  <si>
    <t>What is the evidence for atmospheric transport and deposition of microplastics, and what does this imply for considering long-term pollution?</t>
  </si>
  <si>
    <t>DOC058 DOc035 DOc005 DOc023 DOC091</t>
  </si>
  <si>
    <t>magnitues are not well established as well as estimate range by upto 4 orders of manigitue DOC059: "no one has yet published a comprehensive size distribution for microplastics smaller than 10 µm"</t>
  </si>
  <si>
    <t>seperates the quantitive findings from the qualittive ones  and make refercne th oth range in orders of mangitude. And that the deposisition estiamtes are demandands on the models used</t>
  </si>
  <si>
    <t>DOC002::chunk::71; DOC014::chunk::223; DOC016::chunk::212; DOC095::chunk::78; DOC059::chunk::107; DOC106::chunk::137</t>
  </si>
  <si>
    <t>2097b037-2991-4625-991d-12c6ecdae384</t>
  </si>
  <si>
    <t>Q04</t>
  </si>
  <si>
    <t>Human health / exposure</t>
  </si>
  <si>
    <t>What evidence is there about human exposure to atmospheric microplastics, and what are the main limitations policymakers should be aware of?</t>
  </si>
  <si>
    <t>DOC017,DOC018 Doc 021(inhillantion) DOC046,DOC025,D0c043 (toxicoligy),                      DOC014 (evidance review).                          DOC063(microplasics in lung tissue).            DOC0112,Doc113 (Uk indoor expsoure menasurments</t>
  </si>
  <si>
    <t>that there is insufficnet evdiance to acess the helth risks and there isnt an indefited relationships between quantities and health affects\. Exposure is given but harm isnt. That toxicoluge is on cells no peope. And could be work place realted not atmophere wedont know</t>
  </si>
  <si>
    <t>give clear evidance shoes there isnt a defined risk acessment to carry out and dsont convernt findings on animlas in human findings. as well as giving a good policy maker overview.</t>
  </si>
  <si>
    <t>DOC014::chunk::239; DOC095::chunk::74; DOC014::chunk::241; DOC033::chunk::2; DOC093::chunk::4; DOC035::chunk::6</t>
  </si>
  <si>
    <t>65aaf3f5-072f-4f79-80dc-4f1c61b1c369</t>
  </si>
  <si>
    <t>Q05</t>
  </si>
  <si>
    <t>Multi-source &amp; cross-topic synthesis</t>
  </si>
  <si>
    <t>Sources + transport</t>
  </si>
  <si>
    <t>What does the evidence suggest about interventions regarding the source-to-deposition pathway?</t>
  </si>
  <si>
    <t>DOC003,005,002 (sources of microplassitcs and the atomphere cycle)                                                DOC034,058,029 (transport).                           DOC073,065,073(what the uk and eu is curnety doing                                              DOc022, 108 (interviention modeling )</t>
  </si>
  <si>
    <t>none of the papers actually rank the interventions they just give solutions as there is no review in the coupus, thre are different orders of mannuture in the transport sections so this needs to be comunicated clearly</t>
  </si>
  <si>
    <t>shows clearnly the different stages  as well as keeping clear and traspanrtry to the souces. Keeping the actualy evideance of wahts going on sepreatate from the findings about possible interventions. Showuldn show where to intervene and diffent oiptions  but not suggest a best option</t>
  </si>
  <si>
    <t>DOC014::chunk::240; DOC091::chunk::37; DOC014::chunk::49; DOC105::chunk::52; DOC038::chunk::77; DOC029::chunk::33</t>
  </si>
  <si>
    <t>57c5bb55-6b70-41a7-ba95-b78cdf4c0a90</t>
  </si>
  <si>
    <t>Q06</t>
  </si>
  <si>
    <t>Hard</t>
  </si>
  <si>
    <t>Exposure + human health</t>
  </si>
  <si>
    <t>What does the current evidence on atmospheric microplastics suggest in terms of the human health impacts, and its relevance for policy consideration?</t>
  </si>
  <si>
    <t>DOC017, 018 (Committee on the Medical Effects of Air Pollutants ).                                            DOC021(inhilantion).                                                            DOC014(Science Advice for Policy by European Academies review)                                                                                   DOC045, 025, 043 (toxicoligy)                                                    DOC063 ( Micorpstics in lungs)                       DOC0112,113 (Uk indoor expsoure menasurments</t>
  </si>
  <si>
    <t>comeap finds insufficne evidance to acess the health risks as there is no dose relatships. As well as Sepea finds no evidance of widespready risk however its from 2019 outdie courpus range</t>
  </si>
  <si>
    <t>DOC014::chunk::239; DOC095::chunk::74; DOC052::chunk::12; DOC095::chunk::9; DOC017::chunk::17; DOC093::chunk::4</t>
  </si>
  <si>
    <t>43ca7d0b-1e52-4461-a8d4-c5e19e255dc9</t>
  </si>
  <si>
    <t>Q07</t>
  </si>
  <si>
    <t>Deposition + ecology</t>
  </si>
  <si>
    <t>How does atmospheric deposition cause atmospheric microplastics to reach ecosystems, and what remains uncertain?</t>
  </si>
  <si>
    <t>DOC027 ( desposition to wetlands)                                    DOC049 (ecoligcal risks)                                                      DOC103, 104, 026 ( soil and plants)                                     DOC105 (unknown aspects of plastic pollution)                  DOC050 , 062 (deposistion measruments)</t>
  </si>
  <si>
    <t>the coupus mainly focuses on deposisiton there isnt much evidance about the impact of this deposiston of microplastics on ecosystems</t>
  </si>
  <si>
    <t>must speerate the effects form the effects evidance . And must note that the concetations used in the lab soil expements is much higher than that was ovserved in the field..</t>
  </si>
  <si>
    <t>DOC027::chunk::4; DOC095::chunk::69; DOC005::chunk::5; DOC014::chunk::110; DOC053::chunk::24; DOC027::chunk::6</t>
  </si>
  <si>
    <t>98faea97-04a2-426b-aa4d-b65747cbbdf1</t>
  </si>
  <si>
    <t>Q08</t>
  </si>
  <si>
    <t>Measurement + evidence interpretation</t>
  </si>
  <si>
    <t>How do differences in sampling and methods affect comparison of atmospheric microplastic evidence to inform policy?</t>
  </si>
  <si>
    <t>DOC109(chemical anlyais)                                                   DOC030 ( anlyalitcal methods)                                           DOC111(anlyasis of deposition)                                            DOC095(standarisation gaps)                                               DOC017(Commitee of the medical effects of air polutants) DOC090, 061, 064 (sampling studies)</t>
  </si>
  <si>
    <t>there is no standissed method and comparitson is dificulrt as there is deiiffernt collection,processing andn alyltical methods across all of the studies</t>
  </si>
  <si>
    <t>explain the diffrenty methods, and not compairing figures from from the studdies directly as they are from diffent tecniques and there is no standised method and dosent recommend a montering method/ standards that’s not in the coupus.</t>
  </si>
  <si>
    <t>DOC033::chunk::31; DOC030::chunk::43; DOC003::chunk::7; DOC021::chunk::86; DOC006::chunk::15; DOC095::chunk::79</t>
  </si>
  <si>
    <t>10dc74e4-5b66-4c31-857b-02bebe034f61</t>
  </si>
  <si>
    <t>Q09</t>
  </si>
  <si>
    <t>Conflicting evidence &amp; comparison</t>
  </si>
  <si>
    <t>How much do reported concentrations of atmospheric microplastics differ between environments and why?</t>
  </si>
  <si>
    <t>DOC095 (spread)                                                                   DOC090 (weser,germany cathcment)                                  DOC061, 113 (humber UK Indoors  and Outdoors)              DOC112, (Birmingham Indoor air)                                        DOC041, 051 (forest urban rural)                                               DOC030, 109 (  Explain variation)</t>
  </si>
  <si>
    <t>much of the information in the coupus on this topic is mearly methodoligy and some of the reptored concentrations differ by upto a thousnad times. And the spectromatry and mass spectromatry results and not comparible as one gives how many the other how much. and spectornomy hasa. floor in hte sizes it can detect of around 10um as anyhting below this is not noticeable in most studies.</t>
  </si>
  <si>
    <t>Represents variation and explains supported methodological/contextual drivers. Reoports a rang of different reuslts  and making sure to state the differnces in methods as well as  sepesrating the differances caused by the diffrent envroments from the differances in methods</t>
  </si>
  <si>
    <t>DOC095::chunk::41; DOC003::chunk::81; DOC095::chunk::63; DOC003::chunk::62; DOC024::chunk::17; DOC053::chunk::37</t>
  </si>
  <si>
    <t>a14e1d74-c0fa-4cca-9d3f-f1d3f95facd0</t>
  </si>
  <si>
    <t>Q10</t>
  </si>
  <si>
    <t>Sources / intervention relevance</t>
  </si>
  <si>
    <t>How consistent is the evidence that tyre wear is a major source of atmospheric microplastics, and how reliable are current estimates of its contribution to the problem?</t>
  </si>
  <si>
    <t>DOC003, 109 (cover tyre wear)                                                   DOC005 (Emission figures)                                                   DOC034, 047, 038, 045 ( reviews that mention tyrewear)  DOC022 (estimates tyre loss from trafic data)</t>
  </si>
  <si>
    <t>the estimates dissagreee with DOc003 saying 84% of airmbone plastics come from road use. Howevern doc 005 says 96Gg of micro plastics aare entering long range transport from tyres. But them DOC0109 notes that tyres are only 40-60% poylomer so what dos actually count as a micro plastic nedes to be considerd</t>
  </si>
  <si>
    <t>tyre ware needs to be mentiond as one of the major couases of atmopeheric micro plastics but that the soruces give confliction results int terms of estimates.</t>
  </si>
  <si>
    <t>DOC038::chunk::28; DOC035::chunk::33; DOC003::chunk::45; DOC077::chunk::79; DOC038::chunk::26; DOC022::chunk::131</t>
  </si>
  <si>
    <t>f95e6590-322f-41b7-a080-9665470a22a2</t>
  </si>
  <si>
    <t>Q11</t>
  </si>
  <si>
    <t>Transport / spatial scale</t>
  </si>
  <si>
    <t>What is agreed and what is disputed in the long-range transport of atmospheric microplastics, and how do transport estimates disagree in terms of scale?</t>
  </si>
  <si>
    <t>DOC058 (long term transport)                                                                                                             DOC034 (remote region transport   DOC005 (uncertantcys for transport and deposisiton)          DOC029 (trasport in asia)                                                         DOC059 (atmopshertic Modeling)                                        DOC095, 047 (Reviews)</t>
  </si>
  <si>
    <t>it is genrally agreed that trasport does occour to remote regions. But the sale is not this needs to be reflected in the answer</t>
  </si>
  <si>
    <t>it needs to show that trasport does occour even to remote rgions and make it clear that there is no definitive view on the scale.</t>
  </si>
  <si>
    <t>DOC005::chunk::21; DOC047::chunk::23; DOC058::chunk::0; DOC014::chunk::53; DOC035::chunk::34; DOC014::chunk::54</t>
  </si>
  <si>
    <t>35012f87-6bfb-49a5-accf-ce86d23c45eb</t>
  </si>
  <si>
    <t>Q12</t>
  </si>
  <si>
    <t>UK relivance</t>
  </si>
  <si>
    <t>What existing UK policy instruments address microplastics, and do any of them cover atmospheric sources?</t>
  </si>
  <si>
    <t>DOC075 (packaging tax)                                                       DOC073 (Single Use bans)                                                       DOC072 (Microbeads)                                                         DOC084 Producer responcibilty)                                          DOC078 (Air quality stratagy)                                              DOC089 (Clean air zones)                                           DOC077, 078, 082,088 (curnet uk strategys)</t>
  </si>
  <si>
    <t>there is a clear gap as ther is nothing in the coupus that links atmopsheric. As it does not fall under the efford to regualte particualte matter but ithis is mainly focused on pm 2.5</t>
  </si>
  <si>
    <t>indentifyes a clear gap in the lesgisaltion</t>
  </si>
  <si>
    <t>DOC020::chunk::445; DOC035::chunk::2; DOC014::chunk::240; DOC059::chunk::1; DOC014::chunk::33; DOC035::chunk::6</t>
  </si>
  <si>
    <t>6f2b712d-f648-42ba-8055-ad224a429c34</t>
  </si>
  <si>
    <t>Q13</t>
  </si>
  <si>
    <t>Evidence strength &amp; uncertainty</t>
  </si>
  <si>
    <t>How does the strength of evidence from peer-reviewed research compare to government and policy documents?</t>
  </si>
  <si>
    <t>DOC017, 018 (COMEAP),                                           DOC014 (SAPEA),                                                            DOC106 (WHO) as authoritative assessments.             DOC022, DOC108 (OECD),                                                        DOC012 (UNEP) as intergovernmental.                              DOC005, DOC034, DOC058, DOC063 as peer-reviewed primary research.</t>
  </si>
  <si>
    <t>peer reviews papers carry multiple methods and findings however there is no standarisation . And comepa and sapea are more caustion that individual claims they don’t overstate any findings and the government acesemnts give no new data</t>
  </si>
  <si>
    <t>clearly articlataions the pooint and that differnace between the two not merging them into one</t>
  </si>
  <si>
    <t>DOC014::chunk::12; DOC054::chunk::7; DOC020::chunk::892; DOC074::chunk::57; DOC014::chunk::169; DOC018::chunk::2</t>
  </si>
  <si>
    <t>9691d26c-d835-4198-a006-5773331e66a7</t>
  </si>
  <si>
    <t>Q14</t>
  </si>
  <si>
    <t>Human health</t>
  </si>
  <si>
    <t>What evidence is needed to prove that atmospheric microplastic exposure has a detrimental impact on human health, and what current evidence is there that may support this?</t>
  </si>
  <si>
    <t>DOC017, DOC018 (COMEAP), DOC014 (SAPEA), DOC106 (WHO), DOC016, DOC021</t>
  </si>
  <si>
    <t>Exposure is evidenced but harm is not. COMEAP states a concentration-response relationship cannot be described without exposure, epidemiological and toxicological data together. Toxicology is on cells rather than people, often well above measured concentrations.</t>
  </si>
  <si>
    <t>States what establishing causation would require before listing what exists. Separates harm demonstrated from harm suspected, and does not present exposure findings as evidence of harm.</t>
  </si>
  <si>
    <t>DOC035::chunk::6; DOC014::chunk::241; DOC052::chunk::53; DOC014::chunk::239; DOC095::chunk::74; DOC106::chunk::162</t>
  </si>
  <si>
    <t>aba7078a-b7f6-483d-9024-9b0eb93f57ac</t>
  </si>
  <si>
    <t>Q15</t>
  </si>
  <si>
    <t>Ecological impacts</t>
  </si>
  <si>
    <t>How strong is the evidence that atmospheric microplastic deposition has a detrimental ecological impact, and what evidence gaps limit policy action?</t>
  </si>
  <si>
    <t>DOC027 (wetland deposition),                                        DOC050, 062 (deposition measurement)                     DOC049 (ecological risks)                                            DOC036 (environmental fate and impacts)                  DOC103 (soil properties),                                            DOC104 (soil carbon cycling.                                           DOC026 (lettuce stress response),                                DOC105 (meta-analysis of known and unknown effects).</t>
  </si>
  <si>
    <t>bothe deposistona nd the effectson are both disgiussed and measured in the coupus however there isnt a study that recectaly links and compairs them</t>
  </si>
  <si>
    <t>well written and distuagised the differtnce from field observations and and lab stuidies.</t>
  </si>
  <si>
    <t>DOC035::chunk::36; DOC005::chunk::42; DOC014::chunk::241; DOC005::chunk::38; DOC014::chunk::9; DOC027::chunk::4</t>
  </si>
  <si>
    <t>bf19a14a-3781-4260-b698-e5d52f6e07ab</t>
  </si>
  <si>
    <t>Q16</t>
  </si>
  <si>
    <t>Transport</t>
  </si>
  <si>
    <t>Is there evidence that atmospheric microplastic concentrations are increasing?</t>
  </si>
  <si>
    <t>Clearly separates robust conclusions from uncertain magnitude, mechanisms or estimates.</t>
  </si>
  <si>
    <t>DOC035::chunk::6; DOC093::chunk::4; DOC016::chunk::214; DOC059::chunk::60; DOC003::chunk::71; DOC016::chunk::69</t>
  </si>
  <si>
    <t>fcdfd78f-5432-41cd-8f04-bdbffdb1342e</t>
  </si>
  <si>
    <t>Q17</t>
  </si>
  <si>
    <t>Insufficient / out-of-scope</t>
  </si>
  <si>
    <t>Sources / prioritisation</t>
  </si>
  <si>
    <t>Does the evidence allow one atmospheric microplastic source to be identified definitively as the highest priority for intervention?</t>
  </si>
  <si>
    <t>No. No paper ranks sources by contribution. DOC003 cites road resuspension at up to 84%, while DOC005 gives 96,000 tonnes a year against another study's 284,000. DOC109 notes tyre particles are only 40 to 60% polymer, so studies are not counting the same thing.</t>
  </si>
  <si>
    <t>Answers no, and explains that estimates disagree too widely to rank sources rather than picking one anyway.</t>
  </si>
  <si>
    <t>DOC014::chunk::259; DOC055::chunk::114; DOC030::chunk::50; DOC070::chunk::32; DOC022::chunk::356; DOC030::chunk::10</t>
  </si>
  <si>
    <t>n/a</t>
  </si>
  <si>
    <t>8932b1c6-c11a-4ac9-b2c3-ab158e066ae3</t>
  </si>
  <si>
    <t>Q18</t>
  </si>
  <si>
    <t>Human health / standards</t>
  </si>
  <si>
    <t>Does the current evidence support a safe atmospheric exposure threshold for microplastics that can be applied in policy or regulation?</t>
  </si>
  <si>
    <t>No. COMEAP states that without exposure, epidemiological and toxicological data it is not possible to describe a concentration-response relationship, which is what any threshold requires. SAPEA finds no evidence of widespread risk. No UK or EU instrument sets a limit for airborne microplastics.</t>
  </si>
  <si>
    <t>The trap here is subtler than in the other refusal questions. The corpus contains real numerical limits (WHO air quality guidelines for PM2.5, the UK's fine particulate matter targets) and a system could retrieve one of those and offer it as an analogue. That would be a plausible-looking, well-cited, and entirely wrong answer, since those limits are for particulate matter generally and were not set with microplastics in mind.</t>
  </si>
  <si>
    <t>DOC108::chunk::214; DOC016::chunk::210; DOC016::chunk::214; DOC053::chunk::53; DOC106::chunk::162; DOC002::chunk::80</t>
  </si>
  <si>
    <t>028fe92c-6978-4585-9400-5c1f849c5678</t>
  </si>
  <si>
    <t>Q19</t>
  </si>
  <si>
    <t>Environmental policy outside corpus</t>
  </si>
  <si>
    <t>What does the evidence show about the effectiveness of nuclear power generation for reducing Norway's carbon emissions?</t>
  </si>
  <si>
    <t>None to report. The corpus contains no evidence on nuclear power, electricity generation or carbon emissions, and nothing on Norway. The question falls entirely outside its scope, so there is no uncertainty within the evidence to characterise.</t>
  </si>
  <si>
    <t>States that the corpus does not cover the topic and declines to answer, rather than assembling loosely related passages.</t>
  </si>
  <si>
    <t>DOC106::chunk::329; DOC088::chunk::175; DOC034::chunk::58; DOC077::chunk::91; DOC106::chunk::460; DOC107::chunk::65</t>
  </si>
  <si>
    <t>66eb14be-91e5-44fe-ba2d-dfbb3c654e13</t>
  </si>
  <si>
    <t>Q20</t>
  </si>
  <si>
    <t>Insufficient or unanswerable from retrieved evidence</t>
  </si>
  <si>
    <t>Adjacent microplastics policy</t>
  </si>
  <si>
    <t>What concentrations of microplastics have been measured in UK drinking water?</t>
  </si>
  <si>
    <t>The corpus DOES hold UK measurements, in DOC021::chunk::59 and ::60 (WHO 2022, reporting Ball et al.): tap water sampled at several UK sites, mostly below the limit of quantification, with 20 samples at 0.0004-0.0041 particles/L and three at 0.0008-0.002 particles/L. The shared search returned neither passage to any of the four systems. The question is therefore scored on what each system could actually see, which contained no UK figures, and it stands as a retrieval failure rather than a gap in the corpus. DOC014 separately states there is insufficient data to assess human exposure.</t>
  </si>
  <si>
    <t>States plainly that the retrieved sources hold no UK measurements, rather than presenting figures from elsewhere, or a bibliography entry, as UK data.</t>
  </si>
  <si>
    <t>DOC014::chunk::74; DOC021::chunk::295; DOC021::chunk::64; DOC109::chunk::276; DOC014::chunk::75; DOC033::chunk::5</t>
  </si>
  <si>
    <t>c06b9e26-5293-4a34-92e3-1ac577649782</t>
  </si>
  <si>
    <t>In-scope mean (Q01-Q16, out of 21)</t>
  </si>
  <si>
    <t>Mean (Q01-Q16, out of 21)</t>
  </si>
  <si>
    <t>Out-of-scope mean (Q17-Q20, out of 15)</t>
  </si>
  <si>
    <t>Mean (Q17-Q20, out of 15)</t>
  </si>
  <si>
    <t>Overall mean %</t>
  </si>
  <si>
    <t>System</t>
  </si>
  <si>
    <t>In-scope mean /21</t>
  </si>
  <si>
    <t>Out-of-scope mean /15</t>
  </si>
  <si>
    <t>Overall %</t>
  </si>
  <si>
    <t>System 1 v2</t>
  </si>
  <si>
    <t>System 2 v2</t>
  </si>
  <si>
    <t>System 3 v2</t>
  </si>
  <si>
    <t>System 4 v2</t>
  </si>
  <si>
    <t>Relevance</t>
  </si>
  <si>
    <t>Factual</t>
  </si>
  <si>
    <t>Grounding</t>
  </si>
  <si>
    <t>Synthesis</t>
  </si>
  <si>
    <t>Diversity</t>
  </si>
  <si>
    <t>Uncertainty</t>
  </si>
  <si>
    <t>Policy use</t>
  </si>
  <si>
    <t>Mean words</t>
  </si>
  <si>
    <t>Within 150 limit</t>
  </si>
  <si>
    <t>Mean seconds</t>
  </si>
  <si>
    <t>Total cost</t>
  </si>
  <si>
    <t>Fabricated citations</t>
  </si>
  <si>
    <t>0/20</t>
  </si>
  <si>
    <t>free</t>
  </si>
  <si>
    <t>1/20</t>
  </si>
  <si>
    <t>$0.12</t>
  </si>
  <si>
    <t>16/20</t>
  </si>
  <si>
    <t>$0.27</t>
  </si>
  <si>
    <t>0 (local model)</t>
  </si>
  <si>
    <t>c427cfaf-98ee-4f2d-b638-b55b6db5398c</t>
  </si>
  <si>
    <t>e2325534-afb9-415c-992e-93004fff86c8</t>
  </si>
  <si>
    <t>DOC024::chunk::24; DOC026::chunk::26; DOC027::chunk::27; DOC029::chunk::29</t>
  </si>
  <si>
    <t>360e2be6-9f1f-4ff3-a9e6-edb124f42bd2</t>
  </si>
  <si>
    <t>40805678-ed9d-4bcd-a8dd-d9421db2b895</t>
  </si>
  <si>
    <t>e65f8b22-6c31-4aeb-933b-22bf6958a6e0</t>
  </si>
  <si>
    <t>5c4c2b09-65e7-4fb1-b5fa-7f9608cfcc38</t>
  </si>
  <si>
    <t>da96e98f-2664-436e-a5e6-a9404ce72c3f</t>
  </si>
  <si>
    <t>4bafd23b-5411-4b53-b493-8a3f39ff67a6</t>
  </si>
  <si>
    <t>7fb3507f-b2e6-4d68-b0d1-70a2e94e6b29</t>
  </si>
  <si>
    <t>cbea2dd8-d0ee-496d-8a7e-1c628500f565</t>
  </si>
  <si>
    <t>0f8e35b5-9805-4d25-b71b-be96032c51ed</t>
  </si>
  <si>
    <t>f70bf13f-7cbe-4508-be69-6a2399b877ed</t>
  </si>
  <si>
    <t>ec36cc10-8976-40fa-b3bd-ddf61f353dcd</t>
  </si>
  <si>
    <t>28369232-8c1a-45fb-aa1f-fb14c06cd30b</t>
  </si>
  <si>
    <t>44ace286-c84f-4b45-aecf-b93202488591</t>
  </si>
  <si>
    <t>a9ad289f-77b3-43be-907e-3550dd778953</t>
  </si>
  <si>
    <t>7db12f38-0ebf-40d7-a4cb-1dd540a22637</t>
  </si>
  <si>
    <t>5113091f-0544-4e71-af0f-0e89f17a2654</t>
  </si>
  <si>
    <t>6a48fd78-f361-42bb-8b67-9fe1c2a5a68e</t>
  </si>
  <si>
    <t>DOC021::chunk::102; DOC021::chunk::103</t>
  </si>
  <si>
    <t>31fe21b0-a114-474e-99ab-bed8f1afe784</t>
  </si>
  <si>
    <t>Paid tokens (both calls)</t>
  </si>
  <si>
    <t>d77e4f56-541c-48ab-acb1-0133b6544dad</t>
  </si>
  <si>
    <t>e9b0d4e8-872f-4749-81b0-b31f8155547a</t>
  </si>
  <si>
    <t>bd691a33-5d08-4bfa-9a91-e1653bff8127</t>
  </si>
  <si>
    <t>03f5d426-d801-453d-86a3-5c3bc3015c2d</t>
  </si>
  <si>
    <t>3c4e37ed-0375-4730-8b30-a55cd6ab6063</t>
  </si>
  <si>
    <t>bc62880b-fc22-4f23-8684-8b481840faff</t>
  </si>
  <si>
    <t>ae20909e-1bbe-46cb-81b4-279e20cea4a0</t>
  </si>
  <si>
    <t>Scientific evidence shows that differences in sampling and analytical methods—such as variations in techniques, reporting units, and detection limits—significantly hinder the comparability of atmospheric microplastic (MP) studies [DOC003::chunk::7]; [DOC021::chunk::86]; [DOC030::chunk::43]; [DOC033::chunk::31]; [DOC095::chunk::79]. For example, spectroscopy and mass spectrometry yield different concentration metrics (number vs. mass), complicating direct comparison [DOC030::chunk::43]. Most methods cannot reliably detect MPs smaller than 10 μm, leaving critical gaps in understanding exposure to the respirable fraction (&lt;2.5 μm) [DOC021::chunk::86]; [DOC033::chunk::31]. Weather, particle morphology, and density further influence results, especially in passive sampling [DOC006::chunk::15]. These inconsistencies prevent reliable comparison across studies and regions, and limit the ability to relate findings to air quality guidelines or health thresholds [DOC021::chunk::86]; [DOC095::chunk::79]. Standardized methods are needed before robust policy or risk assessments can be made [DOC033::chunk::31]; [DOC095::chunk::79].</t>
  </si>
  <si>
    <t>d338f423-3f75-4719-8aca-bb7e970cb865</t>
  </si>
  <si>
    <t>Scientific evidence shows that reported concentrations of atmospheric microplastics are significantly higher indoors than outdoors. Indoor air contains 6 to 6.5 times more microplastics than outdoor air, with indoor concentrations ranging from 1.0 to 60.0 fibres/m³ and outdoor concentrations from 0.3 to 1.5 fibres/m³, though some outdoor sites (e.g., Surabaya, Indonesia) report much higher values up to 174 particles/m³ [DOC095::chunk::41]; [DOC003::chunk::81]. Indoor environments also show greater variability in concentrations [DOC003::chunk::81]. The dominant microplastic size is 100–300 μm, with fibres and fragments most common in both environments [DOC053::chunk::37]; [DOC095::chunk::63]. Higher indoor concentrations are linked to indoor sources and occupant activities, while outdoor levels are highest near industrial and urban areas [DOC053::chunk::37]. However, methodological differences and lack of standardization limit direct comparisons, though harmonization is improving [DOC095::chunk::41]. Policy decisions should consider these uncertainties.</t>
  </si>
  <si>
    <t>0edab4c4-9552-4eeb-a67e-18498a0b16b8</t>
  </si>
  <si>
    <t>Scientific evidence consistently identifies tyre wear as a significant source of atmospheric microplastics (MPs). Multiple studies estimate that tyre wear particles contribute 0.1–10% of PM10 and 3–7% of PM2.5 in the atmosphere [DOC038::chunk::26]. Global estimates of airborne tyre wear emissions vary widely, from approximately 146,000 tonnes per year in selected countries to 2,907,000 tonnes globally, including substantial fractions as PM10 and PM2.5 [DOC003::chunk::45]. Tyre wear emissions are reported to be much larger than those from brakes, though brakes contribute more to fine particulates (PM2.5) [DOC022::chunk::131]. While most emissions remain near their source, long-range transport to remote regions, including the Arctic, has been documented [DOC022::chunk::131]; [DOC038::chunk::28]. However, current estimates are limited by methodological challenges, such as insufficient direct measurement and compositional analysis [DOC035::chunk::33]. Ongoing research aims to address these gaps [DOC077::chunk::79]. Policy decisions should account for these uncertainties.</t>
  </si>
  <si>
    <t>12fc0c6d-e146-46f0-a811-6d389758fb03</t>
  </si>
  <si>
    <t>bf5d3c9f-cac2-410d-bd08-43355f4ac526</t>
  </si>
  <si>
    <t>ae46fbf9-816c-4fe4-bb42-11254561846e</t>
  </si>
  <si>
    <t>b3c1a0f2-42f2-46c5-9393-3798e62c9c7c</t>
  </si>
  <si>
    <t>Scientific evidence to conclusively prove that atmospheric microplastic exposure has a detrimental impact on human health would require robust epidemiological studies directly linking exposure to specific health outcomes, as well as improved and internationally harmonized methods for measuring microplastic concentrations and exposure [DOC014::chunk::241; DOC052::chunk::53]. Currently, most evidence comes from experimental, toxicological, and mechanistic studies, with limited direct epidemiological data in exposed human populations [DOC052::chunk::53]. Some studies have found microplastic and cellulosic fibres in human lung tissue and reported respiratory symptoms in workers exposed to plastic dust, such as coughing and occupational asthma, suggesting possible health effects [DOC095::chunk::74]. However, these findings are not conclusive for the general population, and there is uncertainty regarding which microplastic characteristics are most relevant for health [DOC035::chunk::6]. Overall, the ecological and human health risks of microplastics remain uncertain and require further research [DOC014::chunk::241]. Policy decisions should await stronger evidence; final decisions remain with policymakers.</t>
  </si>
  <si>
    <t>c1a09f2f-0e96-46f0-a63c-4b47d0f3ccd3</t>
  </si>
  <si>
    <t>Scientific evidence shows that atmospheric microplastic deposition is widespread, with microplastics detected in all urban samples studied and deposition rates increasing alongside plastic production and use [DOC035::chunk::36]; [DOC027::chunk::4]. Atmospheric deposition is now a major source of microplastics to aquatic ecosystems, sometimes surpassing wastewater inputs [DOC027::chunk::4]. There is some evidence that microplastics can accumulate in soils and plants, with negative effects on plant yield and nutrient availability observed in certain cases [DOC005::chunk::42]. However, the overall ecological and human health risks remain highly uncertain. While there may be specific locations where microplastic concentrations exceed predicted no-effect levels, widespread or long-term ecological risks are not yet well established [DOC014::chunk::241]. Major evidence gaps include limited understanding of fate, transport, and sources, insufficient harmonization of measurement methods, and unclear exposure effects for biota and humans, all of which constrain robust policy action [DOC035::chunk::36]; [DOC014::chunk::241].</t>
  </si>
  <si>
    <t>4ecc2341-1c5b-4ca8-bcf2-d59c8046fd3d</t>
  </si>
  <si>
    <t>ab24d2f3-51bd-44aa-ad82-3984a08f8eb1</t>
  </si>
  <si>
    <t>8ca18ec1-10e6-46cb-8477-346fff54f76b</t>
  </si>
  <si>
    <t>Current evidence does not support the identification of a safe atmospheric exposure threshold for microplastics that can be applied in policy or regulation. Scientific literature highlights a lack of robust data on what concentrations of microplastics are safe for either the environment or human health, with any proposed threshold values being tentative and not derived according to established chemical safety standards [DOC016::chunk::210]. There are significant gaps in knowledge, particularly regarding the toxicological effects and risks of low-level inhaled microplastics under realistic exposure scenarios [DOC053::chunk::53], and no comprehensive risk assessment is currently possible [DOC016::chunk::214]. This situation parallels other air pollutants, where no risk-free exposure level can be confidently identified [DOC106::chunk::162]. Policy implications are that any regulatory thresholds would be based on incomplete evidence, and further research is needed to address these uncertainties and data gaps. Final decisions remain with policymakers.</t>
  </si>
  <si>
    <t>5193a35c-9b80-4a8f-9828-f443c5993199</t>
  </si>
  <si>
    <t>c50508c6-d003-4e99-8f03-68d408ae96a7</t>
  </si>
  <si>
    <t>Available evidence on microplastics in UK drinking water is limited and variable. Some reports suggest concentrations in UK drinking water may be close to zero [DOC021::chunk::295], while studies from other countries have found concentrations ranging from several particles per litre up to 10^6 particles/L, especially for smaller particles (&lt;300 µm) [DOC014::chunk::74]. Box plot data indicate that concentrations tend to increase as particle size decreases, with relatively high and variable concentrations reported for particles between 1 and 5 µm [DOC021::chunk::64]. However, the number of studies specifically focused on UK drinking water is small, and the quality and comparability of available studies are limited by differences in detection methods and uncertainties about whether all detected particles are truly microplastics [DOC014::chunk::75]; [DOC021::chunk::64]. There is currently no information on nanoplastics in UK drinking water [DOC014::chunk::75]. Scientific evidence only; policy decisions remain with policymakers.</t>
  </si>
  <si>
    <t>4051e547-9e4d-4292-97da-d2cec206d719</t>
  </si>
  <si>
    <t>What the merge step actually did</t>
  </si>
  <si>
    <t>Searches</t>
  </si>
  <si>
    <t>Passages</t>
  </si>
  <si>
    <t>DOC046::chunk::29; DOC012::chunk::187; DOC052::chunk::33; DOC003::chunk::172; DOC108::chunk::284; DOC029::chunk::8; DOC005::chunk::14; DOC066::chunk::124; DOC002::chunk::3; DOC059::chunk::50; DOC106::chunk::401; DOC066::chunk::173; DOC012::chunk::158</t>
  </si>
  <si>
    <t>09e12a3a-c9d7-4e44-a6e5-303c4608683c</t>
  </si>
  <si>
    <t>DOC030::chunk::2; DOC078::chunk::271; DOC014::chunk::179; DOC041::chunk::32; DOC078::chunk::232; DOC095::chunk::63; DOC108::chunk::144; DOC074::chunk::57; DOC002::chunk::66; DOC095::chunk::79; DOC095::chunk::10; DOC039::chunk::40; DOC109::chunk::4; DOC053::chunk::158</t>
  </si>
  <si>
    <t>070de68e-e8d1-4dc1-9884-da43fef7d91f</t>
  </si>
  <si>
    <t>0929fb42-7c8a-473f-a93a-aa43d25355cd</t>
  </si>
  <si>
    <t>DOC014::chunk::239; DOC095::chunk::74; DOC014::chunk::241; DOC033::chunk::2; DOC093::chunk::4; DOC035::chunk::6; DOC052::chunk::53; DOC021::chunk::266; DOC014::chunk::245; DOC018::chunk::3; DOC020::chunk::798</t>
  </si>
  <si>
    <t>7376df3d-8895-4f85-8f53-e2d30866e71f</t>
  </si>
  <si>
    <t>DOC014::chunk::240; DOC091::chunk::37; DOC014::chunk::49; DOC105::chunk::52; DOC038::chunk::77; DOC029::chunk::33; DOC002::chunk::71; DOC053::chunk::164; DOC043::chunk::62; DOC106::chunk::436; DOC059::chunk::107; DOC106::chunk::142; DOC059::chunk::131</t>
  </si>
  <si>
    <t>f38d4164-003a-459d-abe3-d4442736dadb</t>
  </si>
  <si>
    <t>DOC014::chunk::239; DOC095::chunk::74; DOC052::chunk::12; DOC095::chunk::9; DOC017::chunk::17; DOC093::chunk::4; DOC021::chunk::24; DOC025::chunk::72; DOC106::chunk::411; DOC052::chunk::13; DOC002::chunk::2</t>
  </si>
  <si>
    <t>25e3c45f-f366-4760-b02c-7fae4bde1332</t>
  </si>
  <si>
    <t>DOC027::chunk::4; DOC095::chunk::69; DOC005::chunk::5; DOC014::chunk::110; DOC053::chunk::24; DOC027::chunk::6; DOC053::chunk::14; DOC049::chunk::73; DOC062::chunk::7; DOC053::chunk::110; DOC016::chunk::542</t>
  </si>
  <si>
    <t>7da078ed-f263-43fa-a99b-9a52c6e7ec43</t>
  </si>
  <si>
    <t>7e78e014-ed90-471e-88b7-1aa646440d9d</t>
  </si>
  <si>
    <t>eccfb758-fddc-4a1f-a955-424bbf80d0e2</t>
  </si>
  <si>
    <t>DOC038::chunk::28; DOC035::chunk::33; DOC003::chunk::45; DOC077::chunk::79; DOC038::chunk::26; DOC022::chunk::131; DOC045::chunk::24; DOC106::chunk::30; DOC017::chunk::7; DOC035::chunk::41; DOC002::chunk::85; DOC005::chunk::62</t>
  </si>
  <si>
    <t>def242de-cf5e-4dcd-b57a-12242e3c0258</t>
  </si>
  <si>
    <t>DOC005::chunk::21; DOC047::chunk::23; DOC058::chunk::0; DOC014::chunk::53; DOC035::chunk::34; DOC014::chunk::54; DOC058::chunk::1; DOC035::chunk::6; DOC052::chunk::50; DOC002::chunk::2</t>
  </si>
  <si>
    <t>80ecf9fa-fdf6-49ab-99a4-96ff4d22beb8</t>
  </si>
  <si>
    <t>DOC020::chunk::445; DOC035::chunk::2; DOC014::chunk::240; DOC059::chunk::1; DOC014::chunk::33; DOC035::chunk::6; DOC013::chunk::23; DOC022::chunk::336; DOC022::chunk::338; DOC062::chunk::8; DOC052::chunk::24</t>
  </si>
  <si>
    <t>0204a962-323a-49c9-a558-cb50fc7350cb</t>
  </si>
  <si>
    <t>DOC014::chunk::12; DOC054::chunk::7; DOC020::chunk::892; DOC074::chunk::57; DOC014::chunk::169; DOC018::chunk::2; DOC053::chunk::53; DOC003::chunk::34; DOC052::chunk::27; DOC002::chunk::69</t>
  </si>
  <si>
    <t>a121d8eb-2096-452e-937b-1366e1d5c4c3</t>
  </si>
  <si>
    <t>DOC035::chunk::6; DOC014::chunk::241; DOC052::chunk::53; DOC014::chunk::239; DOC095::chunk::74; DOC106::chunk::162; DOC052::chunk::103; DOC019::chunk::7; DOC019::chunk::9; DOC014::chunk::18; DOC052::chunk::61; DOC019::chunk::0; DOC019::chunk::11</t>
  </si>
  <si>
    <t>7d9d59c3-51cc-4d8c-8bcd-0eb609d6babe</t>
  </si>
  <si>
    <t>DOC035::chunk::36; DOC005::chunk::42; DOC014::chunk::241; DOC005::chunk::38; DOC014::chunk::9; DOC027::chunk::4; DOC053::chunk::14; DOC053::chunk::164; DOC027::chunk::58; DOC020::chunk::668; DOC049::chunk::33; DOC105::chunk::69; DOC027::chunk::59</t>
  </si>
  <si>
    <t>9eda45a8-d013-408d-b1ba-17c658d88743</t>
  </si>
  <si>
    <t>DOC035::chunk::6; DOC093::chunk::4; DOC016::chunk::214; DOC059::chunk::60; DOC003::chunk::71; DOC016::chunk::69; DOC003::chunk::152; DOC059::chunk::32; DOC022::chunk::253; DOC106::chunk::55</t>
  </si>
  <si>
    <t>ca1aefff-c073-40d9-9946-0f25e6636212</t>
  </si>
  <si>
    <t>DOC014::chunk::259; DOC055::chunk::114; DOC030::chunk::50; DOC070::chunk::32; DOC022::chunk::356; DOC030::chunk::10; DOC039::chunk::20; DOC106::chunk::112; DOC002::chunk::12; DOC044::chunk::2; DOC030::chunk::46; DOC106::chunk::154; DOC106::chunk::436; DOC053::chunk::187</t>
  </si>
  <si>
    <t>f718dc20-54ef-4c09-8189-64917f930c50</t>
  </si>
  <si>
    <t>DOC108::chunk::214; DOC016::chunk::210; DOC016::chunk::214; DOC053::chunk::53; DOC106::chunk::162; DOC002::chunk::80; DOC016::chunk::201; DOC053::chunk::54; DOC002::chunk::69; DOC021::chunk::377; DOC016::chunk::30; DOC052::chunk::61</t>
  </si>
  <si>
    <t>c70de53a-344e-47ed-8c09-a48c1650ef34</t>
  </si>
  <si>
    <t>DOC106::chunk::329; DOC088::chunk::175; DOC034::chunk::58; DOC077::chunk::91; DOC106::chunk::460; DOC107::chunk::65; DOC034::chunk::60; DOC070::chunk::102</t>
  </si>
  <si>
    <t>bab7f2d9-2f7f-4795-9aad-b29b5f167a39</t>
  </si>
  <si>
    <t>DOC014::chunk::74; DOC021::chunk::295; DOC021::chunk::64; DOC109::chunk::276; DOC014::chunk::75; DOC033::chunk::5; DOC016::chunk::361; DOC109::chunk::137; DOC016::chunk::189; DOC109::chunk::46</t>
  </si>
  <si>
    <t>bac9444d-92b4-4387-9cd5-e26e20bd53a4</t>
  </si>
  <si>
    <t>Right about the OECD papers, but read it off a title list. Overstates the health risk.</t>
  </si>
  <si>
    <t>Covers collection and identification, and whether results can be compared.</t>
  </si>
  <si>
    <t>Separates agreed from disputed and gets the range right.</t>
  </si>
  <si>
    <t>Says what proof would need before listing what exists.</t>
  </si>
  <si>
    <t>Uses the UK report properly. No outside references.</t>
  </si>
  <si>
    <t>Extra searching found a road dust breakdown no one else had. Same India slip.</t>
  </si>
  <si>
    <t>Extra searching found two documents no one else saw.</t>
  </si>
  <si>
    <t>Searched once and stopped, so answered from the same material as everyone else.</t>
  </si>
  <si>
    <t>Extra searching found the UK reports the others missed.</t>
  </si>
  <si>
    <t>Three searches, little new from the last one.</t>
  </si>
  <si>
    <t>Finds a toxicity paper no one else reached.</t>
  </si>
  <si>
    <t>Two new documents. Figures correct.</t>
  </si>
  <si>
    <t>Searched once and stopped, correctly. Restraint here is as telling as persistence.</t>
  </si>
  <si>
    <t>Searched once. Figures correct.</t>
  </si>
  <si>
    <t>Fullest account of tyre wear, including how hard tyre dust is to identify.</t>
  </si>
  <si>
    <t>Adds a point no one else made: nobody has measured over the oceans.</t>
  </si>
  <si>
    <t>Found a UK study no one else did. But lists international rules as UK ones.</t>
  </si>
  <si>
    <t>Reports that studies find effects in some cases and not others.</t>
  </si>
  <si>
    <t xml:space="preserve">  Its listes the souces but dosnt what what is most imporntat as well as treading an india specifc findings as global </t>
  </si>
  <si>
    <t>The output explain how the sames are collected but dosnt show or explane how the plsacics are idnitigied .</t>
  </si>
  <si>
    <t>Four of the citations were fabircated .</t>
  </si>
  <si>
    <t>Accurate, but one claim comes from on a keyword list. Confuses exposure with harm.</t>
  </si>
  <si>
    <t>Suggests sewage treatment, which is about water not air.  As wella s criding a paper it hasn’t seen.</t>
  </si>
  <si>
    <t>Nine extrenal references only one from the corpus. Found the key UK report and ignored it.</t>
  </si>
  <si>
    <t>BFigures correct and honest about the gaps.</t>
  </si>
  <si>
    <t>balmes the lacks of standard method. All citations check out.</t>
  </si>
  <si>
    <t>uses the wrong units and  reports a concentration as a particle size.</t>
  </si>
  <si>
    <t xml:space="preserve">  The numbers can bt traced back to the copus but it does show that the estimates do agree acorss papers</t>
  </si>
  <si>
    <t>Separates agreed from disputed but there is One stray reference.</t>
  </si>
  <si>
    <t>No made-up laws. Says the sources can't answer it, but to much fluff</t>
  </si>
  <si>
    <t>states that vidence is limited, but never says what is needed to be done.</t>
  </si>
  <si>
    <t>Good figures. Doesn't separate lab studies from real world  observations.</t>
  </si>
  <si>
    <t>reats predicted plastic growth as proof levels are rising.</t>
  </si>
  <si>
    <t xml:space="preserve">Says no, but never explains why the estimates are too mixed to clearly give rankings to </t>
  </si>
  <si>
    <t>strong answer it states that  No safe limit can be set,</t>
  </si>
  <si>
    <t xml:space="preserve">Says the sources don't cover it, then summarises five irrelevant papers so contradicts itsself  </t>
  </si>
  <si>
    <t>Misread a reference list and  Invented a UK figure from a paper title.</t>
  </si>
  <si>
    <t xml:space="preserve">Bsays that s nobody knows which sources matter most. Same India sisseus as system 1 </t>
  </si>
  <si>
    <t xml:space="preserve">No made-up citations this time. But a calim comes froma. Page of referances. </t>
  </si>
  <si>
    <t xml:space="preserve">Accurate and well supported. Same keyword isseus as system 1 </t>
  </si>
  <si>
    <t xml:space="preserve">still dosnt day about the ranking issues </t>
  </si>
  <si>
    <t xml:space="preserve">better than system 1 Uses the UK information apropratly </t>
  </si>
  <si>
    <t>Figures correct and it adresses that ransport is poorly understood.</t>
  </si>
  <si>
    <t xml:space="preserve">Strong answer </t>
  </si>
  <si>
    <t xml:space="preserve"> explains why methods differ and also fixes the error of units from previous system</t>
  </si>
  <si>
    <t>Figures correct. And esplains why why estimates vary.</t>
  </si>
  <si>
    <t xml:space="preserve">Separates agreed and disputed claims </t>
  </si>
  <si>
    <t xml:space="preserve">Says there's no evidence of UK rules. No made-up laws. </t>
  </si>
  <si>
    <t>Keeps science and policy speerate</t>
  </si>
  <si>
    <t>Accurate, honest that risk is unproven. Doesn't separate lab from field. =. Poor systherisis</t>
  </si>
  <si>
    <t xml:space="preserve">much better than system 1 </t>
  </si>
  <si>
    <t>Says no and explains why but Cites the same reference list as System 1.</t>
  </si>
  <si>
    <t xml:space="preserve"> strong No safe limit can be set. </t>
  </si>
  <si>
    <t>strong answer states the lack of direct evidance</t>
  </si>
  <si>
    <t>Better than System 1. But one figure comes from a wildlife paper not drinking water.</t>
  </si>
  <si>
    <t xml:space="preserve">Names the sources and admits the gaps. India problem persists </t>
  </si>
  <si>
    <t xml:space="preserve">Covers collection, identification and comparability a fairly good answer </t>
  </si>
  <si>
    <t>a claim comes from references. Doesn’t show how widley estimates differ</t>
  </si>
  <si>
    <t>Same keyword issue, Otherwise accurate.</t>
  </si>
  <si>
    <t xml:space="preserve"> says  the evidence can't rank interventions .</t>
  </si>
  <si>
    <t xml:space="preserve">strong answer </t>
  </si>
  <si>
    <t>very strong and notices that the techniques aren't comparable.</t>
  </si>
  <si>
    <t>Correct figs  and explains why methods differ.</t>
  </si>
  <si>
    <t xml:space="preserve">Figures correct. And it sepeares both tyres and brakes as socues </t>
  </si>
  <si>
    <t>Says nothing in the sources covers UK rules.</t>
  </si>
  <si>
    <t>Keeps science and policy apart. Is duaction about policy</t>
  </si>
  <si>
    <t>Same gap as the others no split between lab studies and real world observation.</t>
  </si>
  <si>
    <t>Qualifies the projection properly. Separates prediction from measurement. Overall very strong anseer</t>
  </si>
  <si>
    <t>says no safe limit overall a very strong answer</t>
  </si>
  <si>
    <t>Says no and explains why but still cites Cites the same reference list as the others.</t>
  </si>
  <si>
    <t>best yet for this question</t>
  </si>
  <si>
    <t>The merge made it worse. One draft adeda c avieat of a  the false claim, and then the merge removed it..</t>
  </si>
  <si>
    <t>Three searches but nothing added new .  Keeps science and policy apart.</t>
  </si>
  <si>
    <t>good answer r. Compares microplastics to traffic pollution, where risks are known.</t>
  </si>
  <si>
    <t xml:space="preserve">the addition of the   peat information that was omited from the other ouutpts </t>
  </si>
  <si>
    <t>not talking about the conflicting numbers.</t>
  </si>
  <si>
    <t xml:space="preserve"> Extra searching strengthened the argument.</t>
  </si>
  <si>
    <t>strong it was clear that the sources don't cover it.</t>
  </si>
  <si>
    <t>figures are Czech and Danish, not UK. It was beteer thab the ther systens ansewrs but still wrong.</t>
  </si>
  <si>
    <t>The main sources of atmospheric microplastics include plastic use, industrial activities, consumer products, and human activities, which release plastic particles into the atmosphere through various pathways (DOC052::chunk::33, DOC046::chunk::29). These sources can be categorized into primary and secondary sources. Primary sources directly release plastic particles into the atmosphere, such as emissions from textiles, resuspension from traffic, urban dust, and industrial activities (DOC052::chunk::33, DOC046::chunk::29). Secondary sources, on the other hand, are the products of the degradation of larger plastics in the atmosphere, such as nanoplastics (DOC046::chunk::29).
The presence of atmospheric microplastics contributes to atmospheric particulate matter and can be inhaled, deposited onto land and water surfaces, or redistributed across environmental compartments (DOC052::chunk::33). The sources of nanoplastics are similar to those of microplastics, with primary nanoplastics being produced intentionally and secondary nanoplastics being the products of the degradation of larger plastics in the atmosphere (DOC046::chunk::29).
When considering emission-reduction policy interventions, it is essential to identify the sources of atmospheric microplastics and their relative contributions to the total concentration of microplastics in the air (DOC003::chunk::172). The shipping and transportation industries, wind erosion from landfill, dried landfill leachate, entrainment from waste compaction, and wind abrasion of plastic-rich biosolid applied to agricultural land are potential emission sources of microplastics into the air (DOC003::chunk::172).
Policy interventions should focus on mitigating the leakage of microplastics, and further research is necessary to evaluate the cost-effectiveness of possible mitigation options and inform the choice of policy interventions (DOC108::chunk::284). Significant progress can be achieved in the short term by focusing on mitigation options that generate co-benefits aligned with other environmental policy objectives, such as policies for climate change mitigation and improvements in air quality and water quality (DOC108::chunk::284).
In conclusion, the main sources of atmospheric microplastics include plastic use, industrial activities, consumer products, and human activities, and policy interventions should focus on mitigating the leakage of microplastics. Further research is necessary to evaluate the cost-effectiveness of possible mitigation options and inform the choice of policy interventions.</t>
  </si>
  <si>
    <t>The measurement of atmospheric microplastics is a complex task, and various approaches have been employed to quantify their presence in the air. According to [DOC041::chunk::32], several studies have used passive collection methods, such as in the studies conducted by Allen et al. (2019) and Cai et al. (2017), while others have employed active collection methods, including rain samplers, fallout collectors, and particulate samplers [DOC041::chunk::32]. The particulate or pump samplers have been particularly useful in quantifying the concentration of atmospheric microplastics, especially particles that are immediately suspended [DOC041::chunk::32].
The size of atmospheric microplastics also varies, with fibres typically ranging from 100 to 500 μm, and fragments concentrated in the range of &lt;100 μm [DOC095::chunk::63]. This information is crucial for policy design, as it highlights the need for targeted interventions to mitigate the impact of microplastics on the environment.
In terms of policy implications, the measurement of atmospheric microplastics can inform the design of effective policies to reduce microplastic pollution. For instance, the use of extended producer responsibility (EPR) can encourage manufacturers to design more sustainable packaging and products [DOC078::chunk::232]. Additionally, the development of metrics and measurement techniques to assess the macroeconomic benefits of increased resource productivity can help policymakers evaluate the effectiveness of interventions and make informed decisions [DOC078::chunk::232].
However, there are still significant gaps in our understanding of atmospheric microplastics, particularly in terms of their sources, sinks, and fluxes [DOC030::chunk::2]. Further research is needed to develop more accurate models for estimating the fluxes of atmospheric microplastic emission, transport, and deposition [DOC030::chunk::2]. This will enable policymakers to make more informed decisions and design more effective policies to mitigate the impact of microplastics on the environment.
In terms of behavioral research, understanding the motivations behind specific behaviors can highlight novel pathways to change [DOC014::chunk::179]. For example, some people may avoid plastic packaging due to health concerns about additives, which can inform the design of interventions to change behavior [DOC014::chunk::179]. This information can be used to design more effective policies to reduce microplastic pollution.
Overall, the measurement of atmospheric microplastics is a complex task that requires a multidisciplinary approach. By understanding the various measurement approaches and the implications for policy design, policymakers can make more informed decisions and design more effective policies to mitigate the impact of microplastics on the environment.</t>
  </si>
  <si>
    <t>The scientific evidence suggests that atmospheric transport is a significant pathway for microplastics to reach remote regions [DOC002::chunk::71]. Studies have demonstrated the presence of microplastics in the atmosphere, including in remote mountain catchments [DOC024::chunk::24] and in the free troposphere [DOC026::chunk::26]. Microplastics have been detected in the Arctic region, where they can be transported through the cryosphere [DOC027::chunk::27]. The atmospheric transport of microplastics can lead to their deposition in various environments, including oceans and land surfaces [DOC029::chunk::29].
The abundance and characteristics of atmospheric microplastics vary widely across different regions, with fibres and fragments being the most frequently identified shapes [DOC095::chunk::78]. The size distribution of atmospheric microplastics is difficult to determine due to differences in targeted particle size [DOC095::chunk::78]. Wind, snowfall, and weathering play important roles in the transport and deposition of atmospheric microplastics [DOC095::chunk::78].
The evidence suggests that atmospheric microplastics can be transported long distances and deposited in remote areas, potentially influencing locations far from microplastic pollution sources [DOC095::chunk::78]. However, current research on atmospheric microplastics is in its early stages, and there is a need for more comparable data on abundance and characterization, particularly in remote areas [DOC095::chunk::78].
In terms of policy implications, the evidence suggests that atmospheric transport and deposition of microplastics should be considered when developing long-term pollution strategies. The WHO guidelines for air quality suggest that long-term exposure to air pollutants can have significant health effects, and similar considerations may apply to microplastics [DOC106::chunk::137]. However, the evidence on the health effects of microplastics is still limited, and more research is needed to fully understand the risks associated with atmospheric microplastic pollution.
It is essential to note that the evidence on the health effects of microplastics is still emerging, and more research is needed to fully understand the risks associated with atmospheric microplastic pollution. The WHO guidelines for air quality suggest that long-term exposure to air pollutants can have significant health effects, and similar considerations may apply to microplastics. However, the evidence on the health effects of microplastics is still limited, and more research is needed to fully understand the risks associated with atmospheric microplastic pollution.</t>
  </si>
  <si>
    <t>There is evidence to suggest that human exposure to atmospheric microplastics is a concern. Studies have shown that microplastics can be ingested by different types of organisms, including species widely used in the human diet [DOC095::chunk::74]. Additionally, microplastic particles have been found in human lungs, including excised lung cancers and lung biopsies [DOC095::chunk::74]. The presence of microplastics in the atmosphere has been linked to adverse respiratory and cardiovascular effects [DOC095::chunk::74]. Furthermore, research has shown that synthetic textiles are a main source of airborne microplastics, and fibers are the dominant shape of microplastics in the atmosphere [DOC033::chunk::2].
However, there are limitations to the current evidence. The studies on human exposure to atmospheric microplastics are limited, and more research is needed to fully understand the risks [DOC033::chunk::2]. Additionally, the methods used to measure and assess microplastic concentrations and exposure are not yet harmonized, which can lead to inconsistencies in the data [DOC014::chunk::241]. Furthermore, the ecological and human health risks of microplastics are still not well understood, and more research is needed to clarify the effects of microplastic exposure on biota and humans [DOC014::chunk::241].
Policymakers should be aware that the current evidence suggests that human exposure to atmospheric microplastics is a concern, but more research is needed to fully understand the risks. The main limitations of the current evidence are the limited number of studies, the lack of harmonization of methods, and the need for more research on the ecological and human health risks of microplastics.</t>
  </si>
  <si>
    <t>The evidence suggests that atmospheric microplastics are a significant concern, with studies showing that they can be transported and deposited in both urban and pristine tropical locations, including remote islands (DOC091::chunk::37). This highlights the need for a comprehensive understanding of the source-to-deposition pathway.
Research has identified various sources of microplastics, including atmospheric deposition, sewage treatment plants, and export from rivers (DOC014::chunk::49). However, the relative importance of these sources varies, with synthetic polymers from car tires and plastic-based textiles being major contributors (Siegfried et al., 2017).
The transportation of microplastics in the atmosphere is a complex process, driven by dispersion, transportation, and deposition mechanisms (DOC038::chunk::77). While there is a scarcity of information on the processes assisting MPs transport in the atmosphere, back-trajectory analysis and modeling can provide insights into the source locations and transport pathways (Akhbarizadeh et al., 2021; Allen et al., 2019).
The physical characteristics of microplastic particles, such as shape and morphology, can influence their transport and deposition (DOC029::chunk::33). However, the assumption that microplastics found in remote samples are primarily composed of MPs from the nearest area of heavy anthropogenic activity may not be accurate, as atmospheric deposition can carry MPs thousands of kilometers from their source.
In terms of interventions, the evidence suggests that addressing the source-to-deposition pathway requires a multi-faceted approach. This could include:
* Improving sewage treatment infrastructure to reduce microplastic emissions (Mintenig et al., 2017)
* Implementing policies to reduce the use of synthetic polymers and plastic-based textiles (Siegfried et al., 2017)
* Developing more effective methods for tracking and tracing microplastic sources and transport pathways (Allen et al., 2019)
* Enhancing our understanding of the physical characteristics of microplastic particles and their influence on transport and deposition (DOC029::chunk::33)
However, it is essential to note that the current scientific evidence is limited, and further research is needed to fully understand the source-to-deposition pathway and develop effective interventions.</t>
  </si>
  <si>
    <t>The current evidence on atmospheric microplastics suggests that they can be ingested by organisms, including those used in the human diet [DOC095::chunk::74]. Microplastics have been found in the environment, and their presence has been linked to adverse respiratory and cardiovascular effects [Churg and Brauer, 2000]. Although the visually observed microplastic fibres are supposedly too large to be inhaled, there is an exposure may occur through dust ingestion, particularly for young children [Dris et al., 2017; Wright and Kelly, 2017]. Previous studies have identified cellulosic and plastic fibres in human lungs [Pauly et al., 1998; Wright and Kelly, 2017], and for workers in plastic processing factories to demonstrate breathing and health problems [Kremer et al., 1994].
The toxicological evidence suggests that there is some limited evidence from toxicity studies to suggest that NMPs deposited in the lung induce oxidative stress, inflammation, and cytotoxicity [WHO, 2022]. However, the uncertainty in the data for exposure to biologically relevant NMPs is a significant barrier to assessing the hazard to human health [WHO, 2022]. The dose of particles needed to elicit an adverse effect and the corresponding toxicological end points will be dependent on a combination of factors, including the physical and chemical properties of the NMPs.
The current evidence on atmospheric microplastics suggests that they have human health implications at very high concentrations [Prata, 2018]. The risk of microplastic inhalation could be exacerbated by their ability to carry toxic pollutants from land surfaces [Borthakur et al., 2021]. Therefore, it is critical to develop rapid monitoring systems to assess the atmospheric deposition of microplastics in urban areas.
In terms of policy consideration, the current evidence suggests that there is a need for a systematic overview on policy options and their predicted efficiency and relevance to reduce current and future risks of NMP [SAM, 2018]. A recent WHO report [WHO, 2022] concluded that there is some limited evidence from toxicity studies to suggest that NMPs deposited in the lung induce oxidative stress, inflammation, and cytotoxicity. However, the report also stated that the uncertainty in the data for exposure to biologically relevant NMPs is a significant barrier to assessing the hazard to human health.
Overall, the current evidence on atmospheric microplastics suggests that they have human health implications and that there is a need for further research and policy consideration to reduce the risks associated with NMPs.</t>
  </si>
  <si>
    <t>Atmospheric deposition is a significant source of microplastic pollution in various aquatic ecosystems, with studies suggesting that it contributes more microplastics to oceans than inland river inputs [DOC027::chunk::4]. Microplastics can be transported through the atmosphere via wind, snowfall, and rainfall, reaching remote areas without local sources of plastics [DOC095::chunk::69]. The atmospheric transport of microplastics can be influenced by various factors, including plastic production and usage, which has been documented by ombrotrophic peat cores [Allen et al., 2021].
The deposition rate of microplastics in the atmosphere has been estimated to range from 50 to 700 plastics m−2 · d−1, with some 22 Gg (22,000 tons) of microplastic potentially deposited across the contiguous United States each year [DOC005::chunk::5]. However, the mechanisms governing microplastic transport in the atmosphere remain poorly understood [DOC053::chunk::24]. It is unclear how plastics are emitted to the atmosphere, with some research suggesting that coarse mode particles (&gt;2.5 μm) are typically entrained into the atmosphere through mechanical processes, such as dust entrainment during strong wind events or wind or wave breaking of sea surface spray [DOC005::chunk::5].
The interactions between atmospheric microplastics and ecosystems are complex, with microplastics accumulating in various environmental compartments, including the hydrosphere, pedosphere, and atmosphere [DOC053::chunk::24]. The effects of atmospheric microplastics on ecosystems are still largely unknown, with some research suggesting that they can contribute to habitat degradation and pose ecological and health risks to biota and humans [DOC053::chunk::24].
What remains uncertain is the extent to which aerial pathways contribute to microplastic input and how socio-environmental factors influence this contribution [DOC027::chunk::6]. Additionally, the mechanisms governing microplastic transport in the atmosphere, particularly in the pedosphere and atmosphere, remain poorly understood [DOC053::chunk::24]. Further research is needed to better understand the complex interactions between atmospheric microplastics and ecosystems.
Scientific evidence suggests that atmospheric deposition is a significant source of microplastic pollution in various aquatic ecosystems, with microplastics being transported through the atmosphere via wind, snowfall, and rainfall. However, the mechanisms governing microplastic transport in the atmosphere remain poorly understood, and further research is needed to better understand the complex interactions between atmospheric microplastics and ecosystems.</t>
  </si>
  <si>
    <t>The current understanding of atmospheric microplastics is limited due to the lack of standardized sampling and measurement methods [DOC033::chunk::31]. Studies have reported varying results due to differences in sampling techniques, analytical methods, and polymers investigated [DOC003::chunk::7]. This inconsistency hinders comparability and makes it challenging to establish a comprehensive understanding of atmospheric microplastics [DOC030::chunk::43].
The use of different sampling methods, such as passive and active sampling, can collect different types of microplastics, affecting empirical values like concentration levels [DOC006::chunk::15]. Passive sampling methods, which are commonly used, can collect a wide range of particle sizes but may be affected by adverse weather conditions [DOC006::chunk::15].
The lack of standardized methods and inconsistent units in reporting results prevent comparison of studies and extrapolation of data [DOC021::chunk::86]. This limitation is further exacerbated by the differences in sampling methods and the reporting of results, making it difficult to establish a clear understanding of the sources, prevalence, and behavior of atmospheric microplastics [DOC003::chunk::7].
To address these limitations, it is essential to establish standardized methods for sampling and measurement of atmospheric microplastics [DOC095::chunk::79]. This will enable reproducibility and comparability of results, allowing for the quality data necessary to conduct risk assessments. Further research is needed to better understand the interaction between atmospheric microplastics and other chemicals, ecosystems, and human exposure.
Scientific evidence suggests that atmospheric microplastics are a potentially important source of exposure, with implications for human health [DOC021::chunk::86]. However, the effects of inhalation and ingestion of microplastics on human health are not well documented, and further research is needed to develop prevention and treatment measures [DOC033::chunk::31].
Possible policy implications:
* Establishing standardized methods for sampling and measurement of atmospheric microplastics to ensure reproducibility and comparability of results.
* Conducting further research to better understand the interaction between atmospheric microplastics and other chemicals, ecosystems, and human exposure.
* Developing prevention and treatment measures to mitigate the potential health effects of atmospheric microplastic exposure.
Note: The above answer is based solely on the provided sources and does not include any external information or recommendations.</t>
  </si>
  <si>
    <t>The reported concentrations of atmospheric microplastics differ significantly between indoor and outdoor environments. According to Dris et al. (2017) and Gaston et al. (2020b), indoor concentrations are 6-6.5 times higher than outdoor concentrations [DOC003::chunk::81]. This discrepancy is likely due to the presence of indoor-generating sources, such as microplastics in dust and air conditioning systems [DOC053::chunk::37]. In contrast, outdoor concentrations are influenced by proximity to industrial zones, urban areas, and other sources of microplastic pollution [DOC053::chunk::37].
Within indoor environments, microplastic concentrations can vary depending on factors such as occupant lifestyle and location [DOC053::chunk::37]. In contrast, outdoor concentrations tend to be more consistent, with higher concentrations found near industrial zones and lower concentrations found over the open ocean [DOC003::chunk::62].
The size and shape of microplastics also differ between indoor and outdoor environments. Fibres and fragments are the most common shapes observed in both environments, but the size range is generally smaller in outdoor air, with 50-80% of fibres falling within the 100-500 μm range [DOC095::chunk::63]. In contrast, indoor microplastics tend to be larger, with a median size of 26,800 mg kg-1 [DOC095::chunk::41].
Overall, the reported concentrations of atmospheric microplastics differ significantly between indoor and outdoor environments, reflecting the complex interplay of sources, sinks, and transport mechanisms that govern the distribution of microplastics in the atmosphere.</t>
  </si>
  <si>
    <t>The evidence suggests that tyre wear is a significant source of atmospheric microplastics. Studies have consistently shown that tyre wear particles can become airborne and contribute to microplastic pollution in the atmosphere. According to Kole et al. (2017), 0.1-10% of generated tyre wear and tear particles become airborne, while Evangeliou et al. (2020) estimated that 2907 k tonnes of microplastics in tyre wear per annum could be aerosolised globally. The Clean Air Strategy 2019 also acknowledges the importance of tyre wear as a source of microplastic pollution, investing £200,000 in research to improve understanding of the issue.
However, there is some variation in estimates of the contribution of tyre wear to atmospheric microplastic pollution. Kole et al. (2017) reported that 5-10% of ocean MPs are tyre wear and tear, while Panko et al. (2013) and Kooi et al. (2018) ascribed 28% and 30% respectively to tyre wear and tear. The Global Plastics Outlook also notes that while tyre wear is a significant source of aerial microplastic pollution, brakes are responsible for a larger share of fine particulate matter (PM2.5).
The reliability of current estimates is uncertain due to the limited number of studies on the topic and the variability in estimates. The Global Plastics Outlook notes that while the majority of microplastic emissions tends to remain close to their source, some particles can travel long distances, depending on location and atmospheric conditions. This highlights the need for further research to improve understanding of the issue.
In terms of policy implications, the evidence suggests that tyre wear is a significant source of atmospheric microplastic pollution, and that reducing emissions from this source could be an effective way to mitigate the problem. The Clean Air Strategy 2019's investment in research to improve understanding of the issue is a positive step in this direction. However, further research is needed to provide more accurate estimates of the contribution of tyre wear to atmospheric microplastic pollution and to inform effective policy responses.</t>
  </si>
  <si>
    <t>The long-range transport of atmospheric microplastics is a complex and multifaceted issue, with various studies providing differing estimates and insights. One area of agreement is that microplastics can be transported over long distances through the atmosphere, with studies suggesting that they can travel across hemispheres (DOC058::chunk::0). However, the scale of this transport is disputed, with estimates ranging from 96 Gg · y&lt;sup&gt;−1&lt;/sup&gt; (DOC005::chunk::21) to 284 Gg · y&lt;sup&gt;−1&lt;/sup&gt; (36).
The transport of microplastics through the atmosphere is influenced by various factors, including size, morphology, and meteorological conditions. Studies have shown that smaller microplastics, such as fibers, are transported more efficiently than larger fragments (DOC058::chunk::0). However, the role of meteorological parameters in remote locations is still unclear, with some studies suggesting that they may be less important than local sources (DOC035::chunk::34).
The transport of microplastics through the atmosphere is also influenced by the presence of biota, with some studies suggesting that biota may drive substantial mass flows (DOC014::chunk::54). However, the role of ingestion-migration-egestion in the plastic debris budget is still unknown.
In terms of scale, the estimates of microplastic transport through the atmosphere vary widely. Some studies suggest that microplastics can travel up to 95 km (DOC035::chunk::34), while others estimate that they can travel across hemispheres (DOC058::chunk::0). The lack of significant correlations with meteorological variables in some studies suggests that local sources may have a greater influence on microplastic deposition in central London (DOC035::chunk::34).
Overall, the long-range transport of atmospheric microplastics is a complex and multifaceted issue, with various studies providing differing estimates and insights. Further research is needed to better understand the scale and mechanisms of this transport.
Scientific evidence:
* Microplastics can be transported over long distances through the atmosphere (DOC058::chunk::0).
* The transport of microplastics through the atmosphere is influenced by various factors, including size, morphology, and meteorological conditions (DOC058::chunk::0, DOC035::chunk::34).
* Smaller microplastics, such as fibers, are transported more efficiently than larger fragments (DOC058::chunk::0).
* The role of biota in mass transport of microplastics is still unknown (DOC014::chunk::54).
Possible policy implications:
* Further research is needed to better understand the scale and mechanisms of microplastic transport through the atmosphere.
* Local sources may have a greater influence on microplastic deposition in central London, suggesting that local regulations may be necessary.
* The role of biota in mass transport of microplastics highlights the need for further research into the environmental fate of microplastics.
Note: The above answer is based on the provided sources and does not include any additional information or assumptions.</t>
  </si>
  <si>
    <t>The existing scientific evidence on atmospheric microplastics suggests that they are a global environmental issue contaminating aquatic and terrestrial environments [DOC035::chunk::2]. Microplastics have been reported in atmospheric deposition, indoor and outdoor air, raising concern for public health due to the potential for exposure [DOC035::chunk::2]. A study in central London found microplastics in all samples, with deposition rates ranging from 575 to 1008 microplastics/m^2/d [DOC035::chunk::2]. The microplastics were found in various shapes, with fibrous microplastics accounting for the great majority (92%) [DOC035::chunk::2].
The UK Earth System Model (UKESM1.1) has been used to simulate the transport and deposition of airborne microplastics [DOC059::chunk::1]. The model suggests that microplastics are present throughout the troposphere and can be transported into remote regions, including Antarctica [DOC059::chunk::1]. The model also suggests that dry deposition is the dominant microplastic removal pathway, but greater wet deposition occurs for smaller hydrophilic microplastics [DOC059::chunk::1].
The scientific evidence on microplastics is still limited, and there is a need for further research to understand the quantities, characteristics, and pathways of airborne microplastics [DOC035::chunk::2]. The current study aims to contribute to the limited existing knowledge by examining whether microplastics are present in total (wet and dry) atmospheric deposition in a megacity environment, London (UK) [DOC035::chunk::6].
In terms of policy instruments, the report "A Scientific Perspective on Microplastics in Nature and Society" (SAPEA Evidence Review Report No. 4) [DOC014::chunk::240] provides an overview of the existing natural sciences reviews and overview reports covering exposure, (eco)toxicology, environmental and human health risks, incorporating the most recent primary literature not covered by existing reviews. The report also reviews what has been learned from current computer modelling performed on the topic [DOC014::chunk::33].
However, the report does not specifically address UK policy instruments that address microplastics or cover atmospheric sources. The report aims to provide a rapid evidence review and summary of the existing natural sciences reviews and overview reports, but it does not provide a comprehensive overview of UK policy instruments [DOC014::chunk::33].
Therefore, it is not possible to determine what existing UK policy instruments address microplastics or cover atmospheric sources based on the provided sources. Further research is needed to understand the existing policy instruments and their coverage of microplastics and atmospheric sources.</t>
  </si>
  <si>
    <t>The scientific evidence on atmospheric microplastics is being reviewed by the European Commission's Scientific Advice Mechanism, as part of the SAPEA Evidence Review Report No. 4 [DOC014::chunk::12]. This report provides an interdisciplinary analysis of the topic, highlighting the complexities and uncertainties surrounding microplastics. The report emphasizes the need for a robust knowledge basis to inform policy decisions, and suggests that post-normal science frameworks, such as the framework of Funtowicz and Ravetz (1993), can be used to assess knowledge quality and boost policies [DOC014::chunk::169].
In contrast, the OECD documents [DOC020::chunk::892] focus on governance and policy evaluation, rather than scientific evidence. These documents discuss the use of policy evaluation and innovative citizen participation to inform policy decisions, but do not specifically address microplastics.
The Air Quality Strategy for England (2023) [DOC074::chunk::57] mentions the development of low emission benchmarks to support design-stage emission prevention, but does not specifically address microplastics.
The COMEAP SETE working paper [DOC018::chunk::2] provides a provisional assessment of the health risks associated with the inhalation of environmental airborne nano- and microplastic particles and fibres (NMPs). The assessment is based on a review of the epidemiological and mechanistic evidence, but notes that the evidence is not comprehensive and the assessment should be considered provisional.
In terms of policy implications, the SAPEA report suggests that policies should be informed by a robust knowledge basis, and that evidence of people's values and intangible values should be considered as relevant inputs into evidence-informed policies [DOC014::chunk::169]. The report also highlights the importance of considering the Sustainable Development Goals in policy design.
Overall, the scientific evidence on atmospheric microplastics is being reviewed and assessed by various organizations, including the European Commission's Scientific Advice Mechanism and the COMEAP SETE working group. While there is a need for more comprehensive and robust evidence, the current evidence suggests that microplastics pose a risk to human health and the environment, and that policies should be informed by a robust knowledge basis and consideration of people's values and intangible values.</t>
  </si>
  <si>
    <t>The scientific evidence on the impact of atmospheric microplastic exposure on human health is limited and inconclusive. While there is some evidence to suggest that microplastics can be ingested by humans through dust ingestion, particularly for young children [DOC095::chunk::74], the health effects of this exposure are not well understood [DOC052::chunk::53]. The available evidence is largely based on experimental, toxicological, and mechanistic investigations, with limited direct epidemiological evidence in exposed human populations [DOC052::chunk::53].
The SAPEA Evidence Review Report No. 4 notes that there is a need for improved quality of methods and international harmonization of methods to measure and assess NMP concentrations and exposure [DOC014::chunk::241]. The report also highlights the uncertainty surrounding the ecological and human health risks of NMPs, with little known about the effects on biota and humans [DOC014::chunk::241].
The WHO global air quality guidelines also acknowledge the limitations of the available evidence, stating that it is not possible to identify levels of exposure that are risk-free for any of the pollutant-outcome pairs considered [DOC106::chunk::162]. The guidelines emphasize the need for further research to understand the health effects of atmospheric microplastic exposure.
In terms of specific evidence, there are some studies that suggest a link between atmospheric microplastic exposure and adverse health effects, such as respiratory and cardiovascular problems [DOC095::chunk::74]. However, these findings are not conclusive, and more research is needed to fully understand the impact of atmospheric microplastic exposure on human health.
Overall, while there is some evidence to suggest that atmospheric microplastic exposure may have detrimental health effects, the current evidence is limited and inconclusive. Further research is needed to fully understand the impact of atmospheric microplastic exposure on human health.
Scientific evidence:
* Limited and inconclusive evidence on the health effects of atmospheric microplastic exposure [DOC052::chunk::53]
* Some evidence suggests that microplastics can be ingested by humans through dust ingestion, particularly for young children [DOC095::chunk::74]
* Experimental, toxicological, and mechanistic investigations provide limited direct epidemiological evidence in exposed human populations [DOC052::chunk::53]
* SAPEA Evidence Review Report No. 4 highlights the uncertainty surrounding the ecological and human health risks of NMPs [DOC014::chunk::241]
* WHO global air quality guidelines acknowledge the limitations of the available evidence [DOC106::chunk::162]
Possible policy implications:
* Further research is needed to fully understand the impact of atmospheric microplastic exposure on human health
* Improved quality of methods and international harmonization of methods to measure and assess NMP concentrations and exposure are needed [DOC014::chunk::241]
* More knowledge is needed about the exposure and effects of NMPs on biota and humans [DOC014::chunk::241]</t>
  </si>
  <si>
    <t>The evidence suggests that atmospheric microplastic deposition has a detrimental ecological impact. Studies have found microplastics in every sample collected in urban London, with average deposition rates greater than previously reported [DOC035::chunk::36]. This indicates that cities are a source of airborne microplastics to the wider environment. The deposition rates may increase to 100 mg/m²/year by 2050, raising concerns about the impact on human health, wildland soils, and waters [DOC005::chunk::42]. The inhalation of particles can be irritating to lung tissue and lead to serious diseases, and microplastics may even have the potential to accumulate in plants [DOC005::chunk::42].
However, the evidence is not yet conclusive about the ecological risks of atmospheric microplastic deposition. The SAPEA working group has concluded that there is a need for improved quality of methods and international harmonisation of measurement and assessment methods [DOC014::chunk::241]. They also noted that little is known about the ecological and human health risks of NMPs, and what is known is surrounded by considerable uncertainty [DOC014::chunk::241]. The working group has formulated three conclusions with respect to ecological risks, but these are based on limited evidence and require further research.
The evidence gaps limit policy action in several areas. Firstly, there is a need for more knowledge about the dynamics of atmospheric microplastic dispersion and fate [DOC035::chunk::36]. Secondly, the effects of microplastics on biota and humans are not well understood, and more research is needed to clarify the risks [DOC014::chunk::241]. Finally, the working group has highlighted the need for improved plastic waste management and the removal of ocean plastics from the system [DOC005::chunk::42].
In conclusion, while the evidence suggests that atmospheric microplastic deposition has a detrimental ecological impact, the evidence is not yet conclusive, and further research is needed to clarify the risks and inform policy action.</t>
  </si>
  <si>
    <t>The available evidence suggests that atmospheric microplastic concentrations are likely to increase in the future. According to [DOC059::chunk::60], global plastic production is projected to increase substantially over the coming decades, which will lead to a growth in microplastic emissions and their contribution to total atmospheric aerosol concentrations. This is particularly relevant in regions influenced by strong sources of microplastics, such as population centres.
However, there is limited information on the current levels of atmospheric microplastic concentrations. [DOC035::chunk::6] notes that the transport of urban atmospheric microplastics is unknown, but a likely pathway to pristine environments. [DOC093::chunk::4] states that atmospheric transport has been identified as one of the major conveyors of microplastics in urban areas, but does not provide information on the magnitude of this transport.
There is some evidence that microplastic concentrations in urban areas are higher than in remote locations, but the extent of this phenomenon is not well understood [DOC035::chunk::6]. [DOC003::chunk::71] notes that microplastic concentrations in ambient air have been shown to vary over months, suggesting temporal and seasonal variability.
Overall, while there is some evidence that atmospheric microplastic concentrations are increasing, the available information is limited and more research is needed to fully understand the magnitude and implications of this trend.
Scientific evidence:
* Atmospheric microplastic transport is a likely pathway to pristine environments [DOC035::chunk::6].
* Atmospheric transport has been identified as one of the major conveyors of microplastics in urban areas [DOC093::chunk::4].
* Global plastic production is projected to increase substantially over the coming decades, leading to a growth in microplastic emissions [DOC059::chunk::60].
* Microplastic concentrations in urban areas are higher than in remote locations [DOC035::chunk::6].
* Microplastic concentrations in ambient air have been shown to vary over months, suggesting temporal and seasonal variability [DOC003::chunk::71].
Possible policy implications:
* Further research is needed to fully understand the magnitude and implications of atmospheric microplastic concentrations.
* Policies aimed at reducing plastic production and waste may be necessary to mitigate the growth of microplastic emissions.
* Monitoring systems should be developed to assess the atmospheric deposition of microplastics in urban areas [DOC093::chunk::4].</t>
  </si>
  <si>
    <t>The evidence suggests that atmospheric microplastics are a complex issue, and their sources are numerous and variable. According to Evangeliou et al. (2020) [DOC055::chunk::114], atmospheric transport is a major pathway of microplastics to remote regions. However, the exact sources of atmospheric microplastics are not well-defined, and more research is needed to understand their origin and abundance [DOC030::chunk::50]. 
The literature review by Evangeliou et al. (2020) [DOC055::chunk::114] identified areas with high population density as hotspots for atmospheric microplastics. However, studies in remote areas, such as the Pyrenees, the Alps, the Arctic, and protected areas of the western USA, have also been conducted [DOC030::chunk::10]. 
The evidence does not allow one atmospheric microplastic source to be identified definitively as the highest priority for intervention. The complex nature of atmospheric microplastics, with multiple sources and pathways, suggests that a comprehensive approach is needed to address this issue. 
Scientific evidence suggests that better methods in natural sciences alone will not solve the problem of atmospheric microplastics [DOC014::chunk::259]. Interdisciplinary collaboration between natural, technical, social, and behavioural sciences is necessary to address the complex issue of plastic waste and pollution [DOC014::chunk::259]. 
Possible policy implications include the need for a comprehensive approach to address the complex issue of atmospheric microplastics, including the development of standardized methods for exposure and hazard characterization, and the promotion of interdisciplinary collaboration between natural, technical, social, and behavioural sciences.</t>
  </si>
  <si>
    <t>The current evidence on atmospheric microplastics does not support the identification of a safe exposure threshold that can be applied in policy or regulation. According to the Nordic Council of Ministers [DOC108::chunk::214], microplastics are contaminants for which no safe threshold for emissions can be identified, and even if a safe threshold exists, it will inevitably be surpassed due to the continued accumulation and persistence of microplastics in the environment.
The scientific literature highlights significant gaps in knowledge, particularly for freshwater and terrestrial environments, where comparable ecotoxicity datasets are not currently available [DOC016::chunk::210]. Furthermore, the toxicological effects and risks of low-level exposure to inhaled microplastics in the general population under realistic exposure scenarios are not well understood [DOC053::chunk::53].
The WHO global air quality guidelines [DOC106::chunk::162] approach to setting exposure limits for air pollutants, such as particulate matter, ozone, and nitrogen dioxide, is relevant to the discussion on atmospheric microplastics. The guidelines acknowledge that the available evidence cannot currently identify levels of exposure that are risk-free for any of the pollutant-outcome pairs considered. Instead, the guidelines focus on finding the lowest level of exposure for which there is at least moderate certainty evidence for adverse health effects.
In the context of atmospheric microplastics, the current evidence suggests that there is a lack of research on the toxicological effects and risks of low-level exposure to inhaled microplastics in the general population under realistic exposure scenarios [DOC053::chunk::53]. Therefore, it is not possible to establish a safe exposure threshold for atmospheric microplastics that can be applied in policy or regulation.
The available evidence highlights the need for further research on the toxicological effects and risks of atmospheric microplastics, as well as the development of more environmentally relevant exposures in toxicity studies. Policymakers should consider the gaps in knowledge and the limitations of the current evidence when developing policies or regulations related to atmospheric microplastics.</t>
  </si>
  <si>
    <t>The provided sources do not address the effectiveness of nuclear power generation for reducing Norway's carbon emissions. However, they do provide information on various aspects of air pollution and microplastics.
The WHO global air quality guidelines [DOC106::chunk::329] discuss the health and environmental effects of black carbon (BC) and elemental carbon (EC), which are known to be carcinogenic and climate-warming agents. The guidelines recommend making systematic measurements of BC and/or EC, undertaking emission inventories, exposure assessments, and source apportionment, and taking measures to reduce emissions.
The 25 Year Environment Plan [DOC088::chunk::175] highlights the importance of controlling emissions from medium-sized combustion plants and generators, which are significant sources of air pollutants. The plan aims to reduce sulphur dioxide, particulate matter, and nitrogen oxides emissions by legislating limits on the levels of air pollutants that these sources can emit.
The Atmospheric transport is a major pathway of microplastics to remote regions [DOC034::chunk::58] discusses the transport of microplastics in the atmosphere, including the presence of black carbon in snow and ice. This source highlights the importance of understanding the sources and fate of microplastics in the environment.
The Clean Air Strategy 2019 [DOC077::chunk::91] presents a case study on the development of a prototype heat recovery system using a novel 'wet scrubbing' system. This system has been shown to reduce particulate matter emissions by up to 90%, nitrogen oxide emissions by over 80%, and carbon dioxide emissions by up to 20%.
The National Strategy to Prevent Plastic Pollution [DOC107::chunk::65] discusses the importance of reducing waste generation and promoting circular economy practices. The strategy highlights the need to decouple materials use from economic growth and to encourage producers and consumers to reduce the production and use of single-use plastic products.
In summary, the evidence suggests that reducing emissions from combustion plants and generators, controlling microplastic transport, and promoting circular economy practices can contribute to reducing air pollution and mitigating climate change. However, the effectiveness of these measures in reducing carbon emissions specifically is not addressed in the provided sources.</t>
  </si>
  <si>
    <t>According to the retrieved documents, there is limited information on the occurrence of microplastics in UK drinking water. However, a study by the UK Water Industry Research (Ball et al., 2019) [DOC021::chunk::295] reported that the concentrations of microplastics in drinking water in the UK are close to zero. This is in contrast to other studies that have reported higher concentrations of microplastics in drinking water in other countries, such as Denmark [DOC021::chunk::102] and Norway [DOC021::chunk::103]. 
A review of microplastics in drinking water by Pivokonsky et al. (2018) [DOC109::chunk::276] reported that the concentrations of microplastics in drinking water from groundwater sources were low, ranging from 0.1 to 10 particles/L. However, this study did not specifically focus on UK drinking water.
It is worth noting that the quality of studies on microplastics in drinking water is limited, and more research is needed to fully understand the occurrence and concentrations of microplastics in UK drinking water.</t>
  </si>
  <si>
    <t>**Scientific Evidence:**  
Atmospheric microplastics originate from both primary and secondary sources. Primary sources directly emit microplastics into the air, mainly through urbanization, industrial activities, consumer products, textiles, traffic resuspension, urban dust, and industrial emissions, with fibrous microplastics being dominant in cities [DOC052::chunk::33]. Secondary sources involve the fragmentation and degradation of larger plastics, including those from plastic articles, synthetic textiles, and road dust, as well as wind erosion from landfills and construction sites [DOC046::chunk::29]; [DOC003::chunk::172]. Shipping and transportation industries, landfill wind erosion, and construction/demolition dust are also potential contributors, but their quantitative contributions remain unknown and require further investigation [DOC003::chunk::172]. Nanoplastics can be primary (intentionally produced) or secondary (from degradation), with similar sources [DOC046::chunk::29]. There are significant knowledge gaps regarding the relative contributions of these sources and the effectiveness of mitigation options [DOC108::chunk::284]; [DOC003::chunk::172].
**Policy Implications:**  
Baseline assessments to identify and quantify local sources are essential for targeted emission-reduction interventions [DOC012::chunk::187]. Further research is needed to address knowledge gaps and inform effective policy design [DOC108::chunk::284].</t>
  </si>
  <si>
    <t>**Scientific Evidence:**  
Atmospheric microplastics (AMPs) are measured using both active and passive sampling methods. Passive methods, such as deposition collectors, are most commonly used, while active methods include rain samplers, fallout collectors, and particulate (pump) samplers, which are particularly effective for quantifying suspended particles [DOC041::chunk::32]. Analytical identification relies on techniques like stereomicroscopy, Fourier transform infrared spectroscopy, Raman spectroscopy, and scanning electron microscopy, with emerging methods including laser direct infrared spectroscopy and thermochemical analysis coupled with mass spectrometry [DOC030::chunk::2]. Particle size distributions show that most atmospheric microplastic fibres are between 100–500 μm, with fragments often &lt;100 μm [DOC095::chunk::63]. However, models for AMP emission, transport, and deposition are still in early development, and measurement approaches vary in sensitivity and specificity, leading to inconsistencies and gaps in data comparability [DOC030::chunk::2].
**Policy Implications:**  
The variability and early stage of measurement and modelling approaches highlight the need for standardised methods and robust monitoring to inform effective policy design. Current limitations mean that policy evaluation and adaptation should be iterative and evidence-based [DOC078::chunk::271]. Further research is needed to improve comparability and reliability of AMP data.</t>
  </si>
  <si>
    <t>**Scientific Evidence:**  
Multiple studies confirm that microplastics are present in the atmosphere across urban, rural, and remote regions, demonstrating significant potential for long-range atmospheric transport and deposition [DOC095::chunk::78]. Atmospheric transport is identified as a major pathway for microplastics to reach remote areas, including mountain catchments and the marine atmosphere [DOC002::chunk::71]; [DOC059::chunk::107]. Fibres and fragments are the most common forms detected. Deposition occurs via both dry and wet processes, influenced by wind, snowfall, and weathering [DOC095::chunk::78]. However, research is still in early stages, with insufficient standardized data on abundance, composition, and size distribution, especially in remote locations [DOC095::chunk::78]. There is agreement on the persistence and mobility of microplastics, but gaps remain regarding their long-term environmental fate and health impacts [DOC016::chunk::212].
**Policy Implications:**  
The evidence supports considering atmospheric microplastics as a long-term, transboundary pollutant. However, limitations in data comparability and knowledge of health effects mean that further research and standardized monitoring are needed before setting specific long-term pollution guidelines [DOC095::chunk::78]; [DOC016::chunk::212]. Final decisions should account for these uncertainties.</t>
  </si>
  <si>
    <t>**Scientific Evidence:**  
There is growing evidence that humans are exposed to atmospheric microplastics, particularly in urban areas where concentrations are higher [DOC093::chunk::4]. Microplastics have been detected in atmospheric fallout in cities, with synthetic textile fibres being the dominant type [DOC033::chunk::2]. These airborne microplastics can be inhaled, and fibres have been found in the lower regions of human lungs [DOC093::chunk::4]. Occupational exposure in plastic processing factories has been linked to respiratory symptoms such as coughing and asthma [DOC095::chunk::74]. Inhalation is a concern, especially for industry workers, and dust ingestion may be a significant exposure route for young children [DOC095::chunk::74]. However, the actual health risks remain uncertain, as little is known about the effects of microplastics on human health and exposure levels [DOC014::chunk::241].
**Limitations and Gaps:**  
Key limitations include incomplete knowledge about exposure levels, health effects, and the lack of harmonised measurement methods [DOC014::chunk::241]. Most studies are limited in scope and geographic coverage, and there is considerable uncertainty about real risks [DOC014::chunk::241; DOC035::chunk::6]. Policymakers should be aware that current evidence is insufficient for definitive risk assessment.</t>
  </si>
  <si>
    <t>Scientific evidence indicates that atmospheric transport is a major pathway for microplastics (MPs) from source to deposition, with MPs found in both urban and remote locations at similar rates, suggesting that even ‘pristine’ areas are affected by long-range atmospheric transport [DOC091::chunk::37]. Sources include urban activities, car tyres, plastic-based textiles, household dust, and sewage effluents, with atmospheric deposition acting as an entry pathway for MPs to land, freshwater, and marine environments [DOC014::chunk::49]. The processes governing atmospheric transport, deposition, and dispersion are not yet fully understood, and there is a scarcity of information on the mechanisms and rates of MP movement in the atmosphere [DOC038::chunk::77]. Back-tracing and modeling approaches can help identify sources and transport routes, but current methods often oversimplify source attribution and do not fully account for the diversity of MP morphologies and transport dynamics [DOC029::chunk::33]. 
Policy implications: The complexity and incomplete understanding of atmospheric MP transport highlight the need for multidisciplinary approaches and further research before specific interventions can be reliably targeted along the source-to-deposition pathway [DOC014::chunk::240].</t>
  </si>
  <si>
    <t>**Scientific Evidence:**  
Current evidence indicates widespread presence of atmospheric microplastics (MPs) in urban, suburban, and remote areas, with indoor dust identified as a significant source of human exposure [DOC095::chunk::9]. MPs have been detected in the lower regions of human lungs, suggesting inhalation is possible, especially in urban populations [DOC093::chunk::4]. Epidemiological studies link ambient particulate air pollution to adverse respiratory and cardiovascular effects, but direct evidence for MPs is limited [DOC095::chunk::74]. Toxicological studies show that MPs deposited in the lung may induce oxidative stress, inflammation, and cytotoxicity, but these findings are based on limited data, often using unrealistically high exposure concentrations and poorly characterized particles, reducing their relevance to real-world exposures [DOC017::chunk::17]. There is also evidence that MPs can carry toxic pollutants, potentially increasing health risks [DOC093::chunk::4]. However, comprehensive evaluations and systematic overviews of health impacts, especially in specific regions like India, remain lacking [DOC052::chunk::12].  
**Policy Relevance:**  
The evidence base is incomplete and characterized by significant uncertainties regarding exposure levels, toxicological pathways, and real-world health impacts of atmospheric MPs [DOC014::chunk::239]; [DOC017::chunk::17]. This limits the ability to predict risks or evaluate policy options effectively. Further research and monitoring are needed before robust policy recommendations can be made.</t>
  </si>
  <si>
    <t>**Scientific Evidence:**  
Atmospheric deposition is a major pathway by which microplastics reach various ecosystems, including wetlands, oceans, and remote regions. Microplastics are transported by wind and can be deposited through rainfall or snowfall, allowing them to reach even remote areas such as glaciers and the Arctic, far from local plastic sources [DOC095::chunk::69]. Studies indicate that atmospheric deposition can contribute more microplastics to aquatic environments than riverine or wastewater sources, with wetlands acting as significant sinks for these particles [DOC027::chunk::4]. Deposition rates vary widely, with estimates for remote areas ranging from 50 to 700 plastics m⁻²·d⁻¹, and up to 22,000 tons deposited annually across the contiguous United States [DOC005::chunk::5]. However, the mechanisms of microplastic emission to the atmosphere, their transport dynamics, and the influence of socio-environmental factors remain poorly understood [DOC053::chunk::24]; [DOC027::chunk::6]. Quantitative data on fluxes, distribution, and ecological effects are limited, and detection methods are still evolving [DOC027::chunk::6]; [DOC014::chunk::110].
**Possible Policy Implications:**  
Current evidence highlights the need for improved monitoring and understanding of atmospheric microplastic transport and deposition, but significant uncertainties remain regarding sources, pathways, and impacts [DOC027::chunk::6]; [DOC053::chunk::24]; [DOC014::chunk::110]. Final policy decisions should consider these knowledge gaps.</t>
  </si>
  <si>
    <t>Scientific evidence:  
There is broad agreement that differences in sampling and analytical methods significantly hinder the comparability of atmospheric microplastic (MP) studies. Variations in sampling techniques, analytical approaches, and reporting units make it difficult to compare results across studies or to relate findings to air quality guidelines and health effect thresholds [DOC003::chunk::7]; [DOC021::chunk::86]; [DOC030::chunk::43]; [DOC033::chunk::31]; [DOC095::chunk::79]. For example, some methods only detect MPs above certain sizes (often &gt;10 or &gt;50 μm), leaving the respirable fraction (&lt;2.5 μm) largely unquantified [DOC021::chunk::86]; [DOC033::chunk::31]. Passive and active sampling methods each have strengths and limitations, and environmental factors such as weather can further affect results [DOC006::chunk::15]. The lack of standardized protocols for sampling, identification, and data reporting prevents reliable comparison, meta-analysis, and risk assessment [DOC030::chunk::43]; [DOC095::chunk::79].
Policy implications (based strictly on evidence):  
Current evidence is insufficient for robust policy comparison or risk assessment due to methodological inconsistencies and data gaps, especially regarding small particle sizes and human exposure [DOC021::chunk::86]; [DOC033::chunk::31]; [DOC095::chunk::79]. Standardization is identified as a critical need for future research. Final policy decisions should consider these limitations.</t>
  </si>
  <si>
    <t>**Scientific Evidence:**  
Reported concentrations of atmospheric microplastics are significantly higher indoors than outdoors. Studies show indoor air contains 6 to 6.5 times more microplastics than outdoor air, with indoor concentrations ranging from 1.0 to 60.0 fibres/m³ and outdoor concentrations from 0.3 to 1.5 fibres/m³, though some outdoor sites (e.g., Surabaya, Indonesia) report up to 174 particles/m³ [DOC095::chunk::41]; [DOC003::chunk::81]. The dominant size range is 100–300 μm, with fibres and fragments most common [DOC053::chunk::37]; [DOC095::chunk::63]. Indoor microplastics are linked to indoor sources and occupant activities, while outdoor concentrations are highest near industrial and urban areas [DOC053::chunk::37]. Outdoor microplastics are generally smaller and less variable than indoor ones [DOC003::chunk::81]; [DOC095::chunk::63]. Methodological differences and lack of standardization limit direct comparisons, though harmonization is improving [DOC095::chunk::41].
**Policy Implications:**  
Evidence suggests indoor environments are a major source of atmospheric microplastics, and concentrations vary by location and human activity. However, methodological limitations and data gaps remain, especially regarding standardization and global comparability. Final policy decisions should consider these uncertainties.</t>
  </si>
  <si>
    <t>**Scientific Evidence:**  
Multiple sources consistently identify tyre wear as a major source of atmospheric microplastics (MPs). Tyre wear contributes significantly to airborne MPs, with estimates suggesting 0.1–10% of PM10 and 3–7% of PM2.5 in the atmosphere are tyre-derived particles [DOC038::chunk::26]. Global calculations estimate that 146,000 to 2,907,000 tonnes of tyre wear MPs become airborne annually, though these figures vary due to methodological differences [DOC003::chunk::45]. Tyre wear emissions are especially high in urban areas but can be transported long distances, even reaching remote regions like the Arctic [DOC022::chunk::131]. However, the reliability of these estimates is limited by analytical challenges: current methods often fail to distinguish tyre wear MPs from other particles, and compositional analysis is needed for accurate identification [DOC035::chunk::33]. Ongoing research aims to address these gaps [DOC077::chunk::79].
**Policy Implications:**  
While evidence strongly supports tyre wear as a major atmospheric MP source, uncertainties in quantification and identification remain. Further research and improved analytical methods are needed before precise regulatory action can be based on current estimates. Final decisions should consider these limitations.</t>
  </si>
  <si>
    <t>**Scientific Evidence:**  
There is broad agreement that atmospheric microplastics (MPs) can undergo long-range transport, reaching remote regions such as Antarctica and the Southern Ocean [DOC058::chunk::0]. Studies consistently find that morphology, especially fibers, plays a dominant role in transport efficiency, with fibers being transported more efficiently than fragments [DOC058::chunk::0]. The atmosphere is recognized as a notably faster pathway for small micro- and nanoplastics (MnP) compared to rivers, and can deposit substantial amounts into marine and terrestrial environments, including remote areas [DOC047::chunk::23]. However, there are significant uncertainties and disagreements regarding the scale of transport. For example, global emission estimates for long-range transported MPs from tire wear and braking vary widely, from 96 [63 to 110] Gg·y⁻¹ to 284 (102 to 787) Gg·y⁻¹, depending on assumptions about particle size and fraction available for transport [DOC005::chunk::21]. There is also a large knowledge gap about MP occurrence and burden in the marine boundary layer, and limited validation of transport models [DOC058::chunk::0]; [DOC014::chunk::53]. Local versus remote influences on deposition are debated, with urban areas dominated by local sources and remote areas more affected by meteorological transport [DOC035::chunk::34].
**Policy Implications:**  
While atmospheric transport of MPs is established, the wide range in emission estimates and limited data on transport mechanisms and deposition rates highlight substantial uncertainties. Further research is needed to refine models and quantify fluxes before robust regulatory decisions can be made [DOC014::chunk::53]; [DOC035::chunk::34].</t>
  </si>
  <si>
    <t>**Scientific Evidence:**  
Current scientific reviews highlight that microplastics are a widespread contaminant in both aquatic and terrestrial environments, with recent studies confirming their presence in atmospheric deposition in urban centres such as London [DOC035::chunk::2]. Airborne microplastics can be transported over long distances, including to remote regions, and are present throughout the troposphere, with smaller particles even reaching the lower stratosphere [DOC059::chunk::1]. Despite these findings, the evidence base on the quantities, characteristics, and pathways of airborne microplastics remains sparse, especially regarding their sources and impacts in the UK [DOC035::chunk::6]. Comprehensive reviews note that while there are various policies addressing microplastics in general, there is a lack of clarity and limited evidence on whether existing UK policy instruments specifically address atmospheric microplastic sources [DOC014::chunk::240]. The complexity of the issue and the need for multidisciplinary approaches are emphasized, but no direct evidence of UK policy instruments targeting atmospheric microplastics is provided [DOC014::chunk::33].
**Policy Implications:**  
There is insufficient evidence to confirm that current UK policy instruments explicitly cover atmospheric microplastic sources. Further policy analysis and research are needed. Final decisions remain with the policymaker.</t>
  </si>
  <si>
    <t>**Scientific Evidence:**  
Peer-reviewed research on atmospheric microplastics (NMPs) provides a rapidly evolving but still incomplete evidence base. Systematic reviews highlight that while many studies address microplastics in the marine environment, fewer focus on atmospheric pathways, and the epidemiological and mechanistic evidence for health risks from inhaled NMPs remains provisional and not comprehensive [DOC018::chunk::2]. The SAPEA Evidence Review Report similarly notes significant uncertainties and knowledge gaps, emphasizing that the science is characterized by high system uncertainties and decision urgency [DOC014::chunk::12]; [DOC014::chunk::169].
**Government and Policy Documents:**  
Government and policy documents, such as air quality strategies, often reference best-practice benchmarks and design-stage emission prevention but may not directly address atmospheric microplastics or rely on robust, specific scientific evidence for this pollutant [DOC074::chunk::57]. Policy reviews tend to synthesize available literature, including gray literature, but acknowledge the evolving nature of both the science and policy context [DOC054::chunk::7].
**Comparison and Limitations:**  
Both scientific and policy sources agree that evidence on atmospheric microplastics is limited and evolving. There is consensus on the need for further research and systematic policy evaluation. Current policy guidance is not always directly informed by strong, specific evidence on atmospheric microplastics, reflecting the underlying scientific uncertainties [DOC014::chunk::12]; [DOC018::chunk::2]. 
**Policy Implications:**  
Final policy decisions should recognize these evidence gaps and uncertainties. Further research and interdisciplinary assessment are needed before robust, targeted policy interventions can be fully justified [DOC014::chunk::169].</t>
  </si>
  <si>
    <t>**Scientific Evidence:**  
To prove that atmospheric microplastic exposure has a detrimental impact on human health, robust epidemiological studies directly linking exposure to specific health outcomes are needed, alongside improved and harmonized measurement methods for microplastic concentrations and exposure [DOC014::chunk::241]. Current evidence is largely experimental, toxicological, or mechanistic, with direct epidemiological evidence in exposed human populations remaining limited [DOC052::chunk::53]. Some studies have identified microplastic and cellulosic fibres in human lung tissue and have documented respiratory symptoms in workers exposed to plastic dust, suggesting possible health effects such as coughing, dyspnea, and occupational asthma [DOC095::chunk::74]. However, these findings are not yet conclusive for the general population. There is also uncertainty about the size, shape, and polymer type of microplastics most relevant for human health, and about the levels of exposure in different environments [DOC035::chunk::6]; [DOC014::chunk::239]. Overall, the health relevance of airborne microplastics remains incompletely understood, with significant gaps in exposure assessment and risk evaluation [DOC052::chunk::53].
**Policy Implications:**  
Current evidence is insufficient to conclusively establish detrimental health impacts from atmospheric microplastic exposure in the general population. Further research, especially epidemiological studies and improved exposure assessment, is needed before definitive policy actions can be based on health risk [DOC014::chunk::241]; [DOC052::chunk::53]. Final decisions remain with the policymaker.</t>
  </si>
  <si>
    <t>**Scientific Evidence:**  
There is evidence that atmospheric microplastic deposition is widespread, with microplastics detected in all urban samples studied and deposition rates increasing alongside plastic production and use [DOC035::chunk::36]; [DOC027::chunk::4]. Atmospheric deposition is now recognized as a major source of microplastics to aquatic ecosystems, sometimes surpassing wastewater inputs [DOC027::chunk::4]. Some studies indicate that microplastics may accumulate in soils and plants, with negative effects on plant yield and nutrient availability observed in certain cases [DOC005::chunk::42]. However, the overall ecological and human health risks remain highly uncertain. While there may be specific locations where microplastic concentrations exceed predicted no-effect levels, widespread or general ecological risks have not been conclusively demonstrated [DOC014::chunk::241]. The toxicity of microplastics relative to other aerosols is also not well understood [DOC005::chunk::42].
**Evidence Gaps and Limitations:**  
Major gaps include limited understanding of the fate, transport, and sources of atmospheric microplastics, insufficient harmonization of measurement methods, and a lack of clarity on exposure effects for biota and humans [DOC035::chunk::36]; [DOC014::chunk::241]. There is also little knowledge about threshold concentrations for negative ecosystem impacts [DOC005::chunk::42]. These uncertainties constrain the ability to assess risks and design targeted policy interventions. Final policy decisions should account for these evidence gaps.</t>
  </si>
  <si>
    <t>**Scientific Evidence:**  
Multiple sources indicate that atmospheric microplastic concentrations are expected to increase, though direct long-term observational data are limited. Model projections show that with global plastic production set to rise, microplastic emissions and their atmospheric concentrations are also expected to grow, especially in urban areas where sources such as tyre wear and textile fibres are concentrated [DOC059::chunk::60]. Observational studies confirm the presence of microplastics in urban air and suggest higher concentrations in cities compared to remote areas, but there is a paucity of long-term data quantifying trends over time [DOC035::chunk::6]; [DOC093::chunk::4]. Some evidence suggests temporal and seasonal variability in concentrations, but it is unclear if there is a consistent upward trend due to limited monitoring [DOC003::chunk::71]. Overall, while models and indirect evidence point to increasing concentrations, robust long-term empirical data are lacking, representing a significant knowledge gap [DOC016::chunk::214].
**Policy Implications:**  
The lack of comprehensive long-term monitoring data limits the ability to assess trends and risks fully. Caution is warranted in interpreting current evidence, and further research and monitoring are needed to clarify trends and potential impacts. Final decisions remain with policymakers.</t>
  </si>
  <si>
    <t>Scientific evidence does not currently allow one atmospheric microplastic source to be definitively identified as the highest priority for intervention. Multiple studies confirm the presence of microplastics in both indoor and outdoor air, with hotspots in densely populated areas and even detection in remote regions, indicating diverse and widespread sources [DOC030::chunk::10]. Atmospheric transport is recognized as a major pathway for microplastics to reach remote environments, but the relative contributions of specific sources (e.g., textiles, urban dust, industrial emissions) remain unclear [DOC055::chunk::114]; [DOC030::chunk::50]. Furthermore, there is a lack of standardised methods for exposure and hazard characterisation, and quantitative data are often insufficient in quality, making it impossible to conclude with certainty which sources pose the greatest risk [DOC014::chunk::259]. This highlights significant gaps and limitations in current knowledge. 
Policy implications: Decisions on prioritising interventions should be made cautiously, as the evidence base is not yet robust enough to single out one source for targeted action [DOC014::chunk::259].</t>
  </si>
  <si>
    <t>Scientific evidence indicates that there is currently no robust or universally accepted safe atmospheric exposure threshold for microplastics that can be applied in policy or regulation. Multiple sources highlight a lack of knowledge on what concentrations of microplastics are safe for the environment or human health, with proposed thresholds being tentative and not derived according to established chemical safety standards [DOC016::chunk::210]. The persistent and accumulating nature of microplastics means that even if a safe threshold could be identified, it would likely be exceeded over time [DOC108::chunk::214]. For atmospheric microplastics specifically, there is a paucity of research on toxicological effects and risks from inhalation at realistic exposure levels, and no regulation currently exists for microplastic contamination in air, food, or water [DOC053::chunk::53]. The absence of evidence for significant adverse impacts should not be interpreted as evidence of safety, and major data gaps remain, especially for nanoplastics and secondary exposure pathways [DOC016::chunk::214].
Policy implications: Current evidence is insufficient to define or support a safe atmospheric exposure threshold for microplastics. Further research and monitoring are needed before such thresholds can be established. Final decisions remain with policymakers.</t>
  </si>
  <si>
    <t>Scientific Evidence:  
None of the provided sources directly address the effectiveness of nuclear power generation for reducing Norway's carbon emissions. The available evidence discusses emissions from combustion plants, the impact of air pollutants from power generation, and strategies for reducing particulate matter and other pollutants, but does not mention nuclear power or its specific role in Norway’s energy mix or carbon emissions profile [DOC088::chunk::175]; [DOC077::chunk::91]; [DOC106::chunk::329]; [DOC106::chunk::460]; [DOC107::chunk::65]; [DOC034::chunk::58]. There is also no comparative analysis of nuclear power versus other energy sources in the context of Norway.
Policy Implications:  
Due to the lack of direct evidence in the provided sources, no conclusions can be drawn about the effectiveness of nuclear power generation for reducing Norway's carbon emissions. Further evidence would be required to inform policy decisions on this topic. Final decisions remain with the human policymaker.</t>
  </si>
  <si>
    <t>Scientific evidence indicates that microplastics have been detected in UK drinking water, but concentrations vary and data are limited. Studies report microplastics in both bottled and tap water, with concentrations ranging from several particles per litre up to 10^6 particles/L, particularly for smaller particles (&lt;300 µm) [DOC014::chunk::74]. A review by UK Water Industry Research highlights potential risks from microplastics in drinking water, but does not provide specific concentration values for the UK [DOC021::chunk::295]. Box plot data from multiple studies show that concentrations generally increase as particle size decreases, with the highest and most variable concentrations reported for particles between 1–5 µm [DOC021::chunk::64]. However, the quality and comparability of these studies are limited, and there is concern about whether all detected particles are truly microplastics [DOC021::chunk::64]. Overall, there is insufficient, high-quality, UK-specific data to provide a definitive concentration range for microplastics in UK drinking water [DOC014::chunk::75].
Policy implications: The lack of robust, UK-specific data and methodological limitations mean that exposure and risk assessments for microplastics in UK drinking water remain highly uncertain [DOC014::chunk::75].</t>
  </si>
  <si>
    <t>**Scientific Evidence:**  
Atmospheric microplastics originate from both primary and secondary sources. Primary sources directly emit microplastics into the air, including emissions from textiles, urban dust, traffic resuspension, industrial activities, and consumer products, with fibrous microplastics being especially prevalent in urban environments [DOC052::chunk::33]. Secondary sources result from the fragmentation and degradation of larger plastics, such as those from plastic articles, synthetic textiles, and road dust, as well as wind erosion from landfills, construction, and demolition sites [DOC046::chunk::29]; [DOC003::chunk::172]. Shipping and transportation industries, landfill wind erosion, and waste compaction are also potential contributors, but their quantitative impact remains unclear and requires further investigation [DOC003::chunk::172]. Nanoplastics can be primary (intentionally produced) or secondary (from degradation), with additional sources like mineral dust and sea salt particles [DOC046::chunk::29]. There are significant knowledge gaps regarding the full range and magnitude of these sources [DOC003::chunk::172]; [DOC108::chunk::284].
**Policy Implications:**  
Establishing baseline assessments to identify and quantify these sources is essential for effective emission-reduction interventions. Further research is needed to evaluate mitigation options and address knowledge gaps [DOC012::chunk::187]; [DOC108::chunk::284].</t>
  </si>
  <si>
    <t>Atmospheric microplastics (AMPs) are measured using both passive and active sampling approaches. Passive methods, such as deposition collectors, are most commonly used, while active methods include rain samplers, fallout collectors, and particulate (pump) samplers, which are particularly effective for quantifying suspended particles [DOC041::chunk::32]. Analytical identification employs techniques like stereomicroscopy, Fourier transform infrared spectroscopy, Raman spectroscopy, and scanning electron microscopy, with emerging methods such as laser direct infrared spectroscopy and thermochemical analysis coupled with mass spectrometry [DOC030::chunk::2]. Most atmospheric microplastic fibres are between 100–500 μm, with fragments often &lt;100 μm [DOC095::chunk::63].
Scientifically, measurement approaches vary in sensitivity and specificity, and models for AMP emission, transport, and deposition are still in early development, limiting comparability and standardization [DOC030::chunk::2]. For policy, this diversity and lack of harmonized protocols constrain reliable monitoring and evaluation of interventions, highlighting the need for further research and standardization before robust policy assessment is possible [DOC030::chunk::2][DOC078::chunk::271].</t>
  </si>
  <si>
    <t>Scientific evidence shows that microplastics are present in the atmosphere across urban, rural, and remote regions, confirming that atmospheric transport is a significant pathway for microplastics to reach distant locations, including remote mountain catchments and the marine atmosphere [DOC002::chunk::71]; [DOC059::chunk::107]; [DOC095::chunk::78]. Fibres and fragments are the most commonly detected forms, and deposition occurs through both dry and wet processes, influenced by wind, snowfall, and weathering [DOC095::chunk::78]. However, research is still in its early stages, with insufficient standardized data on abundance, composition, and size distribution, particularly in remote areas [DOC095::chunk::78]. 
While the persistence and mobility of microplastics are well established, there are significant gaps regarding their long-term environmental fate and health impacts [DOC016::chunk::212]. Policy considerations should recognize atmospheric microplastics as a potential long-term, transboundary pollutant, but further research and standardized monitoring are needed before setting specific guidelines [DOC095::chunk::78]; [DOC016::chunk::212]. Final decisions remain with policymakers.</t>
  </si>
  <si>
    <t>Scientific evidence shows that humans are exposed to atmospheric microplastics, especially in urban areas where concentrations are higher [DOC093::chunk::4]; [DOC035::chunk::6]. Airborne microplastics, mainly synthetic fibres from textiles, have been detected in city fallout [DOC033::chunk::2]. Inhalation is a plausible exposure route, with microplastics found in the lower regions of human lungs and in lung biopsies [DOC093::chunk::4]; [DOC095::chunk::74]. Occupational exposure in plastic processing industries has been linked to respiratory symptoms, but evidence for health effects in the general population is limited [DOC095::chunk::74]. Dust ingestion, particularly in children, is another possible exposure pathway [DOC095::chunk::74]. Microplastics may also carry toxic pollutants, potentially increasing health risks [DOC093::chunk::4].
Main limitations include a lack of harmonised measurement methods, limited data on exposure levels, and considerable uncertainty about health risks, especially for long-term and widespread effects [DOC014::chunk::241]; [DOC014::chunk::239]; [DOC033::chunk::2].</t>
  </si>
  <si>
    <t>Scientific evidence shows that atmospheric transport is a major pathway for microplastics (MPs), with deposition occurring in both urban and remote environments, indicating that even ‘pristine’ areas are affected by long-range transport [DOC091::chunk::37]. Major sources include car tyres, plastic-based textiles, household dust, and sewage effluents, with atmospheric deposition acting as an entry pathway to land, freshwater, and marine systems [DOC014::chunk::49]. However, the understanding of atmospheric MP transport mechanisms—such as transport potential, deposition, and settling speeds—is still limited [DOC038::chunk::77]. While modeling and back-tracing can help identify sources and pathways, current methods often oversimplify source attribution and do not fully account for the complexity of MP morphologies and multiple sources [DOC029::chunk::33]. 
Scientific evidence does not yet support or rank specific interventions along the atmospheric source-to-deposition pathway. Multidisciplinary approaches and improved modeling are needed, but further research is required before recommending targeted interventions [DOC014::chunk::240]. Policy decisions should consider these scientific limitations.</t>
  </si>
  <si>
    <t>**Scientific Evidence:**  
Current evidence shows that atmospheric microplastics (MPs) are widespread in urban, suburban, and remote environments, with indoor dust being a notable source of human exposure [DOC095::chunk::9]. MPs have been detected in the lower regions of human lungs, indicating that inhalation is possible, particularly in urban populations [DOC093::chunk::4]. Toxicological studies provide limited evidence that MPs deposited in the lung can induce oxidative stress, inflammation, and cytotoxicity, but these studies often use unrealistically high exposure concentrations and poorly characterized particles, limiting their relevance to real-world scenarios [DOC017::chunk::17]. There is also concern that MPs may carry toxic pollutants, potentially increasing health risks [DOC093::chunk::4]. However, direct evidence linking atmospheric MPs to specific adverse health outcomes in humans remains insufficient [DOC017::chunk::17].
**Policy Relevance:**  
Significant uncertainties and knowledge gaps persist regarding real-world exposure levels and health impacts, making risk assessment and targeted policy development challenging. Further research and systematic monitoring are needed to inform effective policy responses [DOC014::chunk::239]; [DOC052::chunk::12].</t>
  </si>
  <si>
    <t>Atmospheric deposition is a significant pathway for microplastics to enter ecosystems. Microplastics are transported by wind and can be deposited through rainfall or snowfall, enabling them to reach even remote areas such as glaciers and the Arctic, far from local plastic sources [DOC095::chunk::69]. Studies suggest that atmospheric deposition can contribute more microplastics to aquatic environments, including wetlands and oceans, than riverine or wastewater sources, with wetlands acting as important sinks [DOC027::chunk::4]. Deposition rates in remote regions range from 50 to 700 plastics m⁻²·d⁻¹, and up to 22,000 tons may be deposited annually across the contiguous United States [DOC005::chunk::5]. 
However, key uncertainties remain: the mechanisms of microplastic emission, atmospheric transport, and deposition—especially for larger particles—are not fully understood, and actual concentrations, distribution patterns, and ecological effects remain largely unknown. Quantitative risk assessments are limited and current knowledge is provisional [DOC053::chunk::24]; [DOC027::chunk::6]; [DOC014::chunk::110].</t>
  </si>
  <si>
    <t>Scientific evidence shows broad agreement that atmospheric microplastics (MPs) can undergo long-range transport, reaching remote and even hemispheric regions such as Antarctica and the Southern Ocean [DOC058::chunk::0]. Morphology, particularly being a fiber, is a dominant factor in transport efficiency, with fibers transported more efficiently than fragments [DOC058::chunk::0]. The atmosphere is a notably faster pathway for microplastic movement than rivers, and it predominantly transports smaller particles [DOC047::chunk::23]. However, there are major knowledge gaps regarding the occurrence, burden, and detailed transport mechanisms of MPs in the marine boundary layer and between the atmosphere, land, and ocean [DOC014::chunk::53].
Transport estimates are disputed, with global emission estimates for long-range transported MPs from tire wear and braking ranging from 96 [63 to 110] Gg·y⁻¹ to 284 (102 to 787) Gg·y⁻¹, depending on assumptions about particle size and fraction available for transport [DOC005::chunk::21]. This reflects substantial uncertainty in quantifying atmospheric MP fluxes. Policy decisions require further research to address these gaps.</t>
  </si>
  <si>
    <t>**Scientific Evidence:**  
Current research confirms that microplastics are present in both aquatic and terrestrial environments, as well as in atmospheric deposition in urban centres like London [DOC035::chunk::2]. Airborne microplastics can be transported over long distances and are found throughout the troposphere, with smaller particles reaching the lower stratosphere [DOC059::chunk::1]. However, there is limited evidence on the extent and sources of atmospheric microplastic contamination, particularly in major population centres [DOC035::chunk::6].
**Policy Evidence and Limitations:**  
The SAPEA evidence review discusses EU-level and national policies addressing microplastics in general but does not specify which, if any, UK policy instruments target atmospheric sources [DOC014::chunk::240]. The report highlights the complexity of the issue and the need for multidisciplinary approaches but does not identify concrete UK policies focused on airborne microplastics [DOC014::chunk::33]. Therefore, based on the provided sources, there is insufficient evidence to confirm the existence of UK policy instruments specifically addressing atmospheric microplastics. Final decisions remain with policymakers.</t>
  </si>
  <si>
    <t>The strength of evidence on atmospheric microplastics (NMPs) from peer-reviewed research is currently limited and evolving. Systematic reviews indicate that while there is substantial research on microplastics in marine environments, evidence specifically addressing atmospheric pathways and health risks from inhaled NMPs is provisional and not comprehensive [DOC018::chunk::2]; [DOC054::chunk::7]. The SAPEA Evidence Review Report highlights significant uncertainties and knowledge gaps, characterizing the science as having high system uncertainties and decision urgency [DOC014::chunk::12]; [DOC014::chunk::169]. 
Government and policy documents often acknowledge these scientific limitations. In response, they may adopt precautionary principles, best-practice benchmarks, and incorporate broader societal values and sustainable development goals into policy frameworks, rather than relying solely on definitive scientific risk assessments [DOC074::chunk::57]; [DOC014::chunk::169]. 
In summary, both peer-reviewed research and policy documents agree that the evidence base is incomplete, and policy decisions are shaped by both scientific input and broader societal considerations. Final decisions remain with policymakers [DOC014::chunk::12]; [DOC014::chunk::169].</t>
  </si>
  <si>
    <t>Current scientific evidence suggests that atmospheric microplastic concentrations are likely to increase in the future, primarily due to projected rises in global plastic production and emissions, especially from urban sources such as tyre wear and textile fibres [DOC059::chunk::60]. Models and projections support this expectation, but there is a lack of comprehensive long-term observational data to confirm a consistent increasing trend in atmospheric microplastic concentrations [DOC003::chunk::71; DOC016::chunk::214]. Existing studies confirm higher microplastic concentrations in urban areas compared to remote locations, and report temporal and seasonal variability, but do not provide robust evidence of a sustained increase over time [DOC035::chunk::6; DOC003::chunk::71]. Significant knowledge gaps remain, particularly for terrestrial and atmospheric environments, limiting the ability to draw definitive conclusions [DOC016::chunk::214]. 
Policy implications: Further research and long-term monitoring are needed to confirm trends and assess potential risks. Final decisions should account for these evidence gaps.</t>
  </si>
  <si>
    <t>Current scientific evidence does not allow one atmospheric microplastic source to be definitively identified as the highest priority for intervention. Studies confirm that atmospheric microplastics originate from diverse and widespread sources, with hotspots in densely populated areas and detection even in remote regions, indicating complex and variable origins [DOC030::chunk::10]; [DOC055::chunk::114]. The relative contributions of specific sources (such as textiles, urban dust, or industrial emissions) remain unclear due to insufficient and inconsistent quantitative data and a lack of standardised methods for exposure and hazard characterisation [DOC014::chunk::259]; [DOC030::chunk::50]. This results in significant knowledge gaps and uncertainty regarding which sources pose the greatest risk. 
Scientific evidence highlights the need for rigorous, interdisciplinary research and improved methodologies before prioritising interventions. Policy decisions on targeting specific sources should therefore await more robust data and remain at the discretion of policymakers [DOC014::chunk::259].</t>
  </si>
  <si>
    <t>Scientific Evidence:  
The provided sources do not contain any information on nuclear power generation or its effectiveness in reducing Norway's carbon emissions. The evidence focuses on emissions from combustion plants, strategies for reducing air pollutants such as particulate matter, nitrogen oxides, and black carbon, and approaches to waste reduction and circular economy practices [DOC088::chunk::175]; [DOC077::chunk::91]; [DOC106::chunk::329]; [DOC034::chunk::58]; [DOC107::chunk::65]. There is no discussion or comparative analysis of nuclear power or its role in Norway’s energy mix or carbon emissions profile.
Policy Implications:  
Given the absence of relevant evidence in these sources, no conclusions can be drawn about the effectiveness of nuclear power for reducing Norway’s carbon emissions. Further evidence would be necessary to inform policy decisions on this topic. Final decisions remain with the human policymaker.</t>
  </si>
  <si>
    <t>**Scientific Evidence:**  
Atmospheric microplastics originate from diverse sources, both primary (direct emissions) and secondary (fragmentation of larger plastics). Major sources include road dust and traffic-related emissions, which account for a significant proportion of atmospheric microplastic deposition (e.g., 84% over the western United States) [DOC005::chunk::14]. Other important contributors are synthetic textiles (via fiber shedding), urban dust, industrial activities, and construction or demolition sites [DOC052::chunk::33]; [DOC046::chunk::29]; [DOC003::chunk::172]. Sea spray and agricultural dust also contribute, though to a lesser extent [DOC005::chunk::14]; [DOC002::chunk::3]. Microplastics can be primary (directly released, e.g., from textiles or tire wear) or secondary (from degradation of larger plastics) [DOC012::chunk::158]; [DOC046::chunk::29]. The relative contributions of these sources remain uncertain, with knowledge gaps regarding the quantitative share of each source and the influence of specific activities (e.g., shipping, landfill wind erosion) [DOC003::chunk::172].  
**Policy Implications:**  
Effective emission-reduction interventions should consider road transport, synthetic textiles, urban and industrial dust, and construction activities as key sources. Baseline assessments are essential to identify and quantify these sources within specific jurisdictions, enabling targeted and measurable policy actions [DOC012::chunk::187]. Further research is needed to address knowledge gaps and evaluate the cost-effectiveness of mitigation options [DOC108::chunk::284].</t>
  </si>
  <si>
    <t>Scientific evidence shows that measurement approaches for atmospheric microplastics (AMPs) include both active and passive sampling methods. Passive methods, such as total deposition collectors, are widely used due to their ease of use and recent advances in standardized, plastic-free designs, which improve comparability and reproducibility of results [DOC095::chunk::10]; [DOC041::chunk::32]. Active methods, including rain samplers and particulate samplers, help quantify suspended microplastics, especially smaller particles [DOC041::chunk::32]. Analytical techniques for identifying AMPs include stereomicroscopy, Fourier transform infrared spectroscopy, Raman spectroscopy, and mass spectrometry, with emerging methods like laser direct infrared spectroscopy offering potential improvements [DOC030::chunk::2]. However, there is broad agreement that the lack of standardized sampling and analytical protocols leads to fragmented and non-comparable data, hindering robust risk assessment and policy evaluation [DOC039::chunk::40]; [DOC095::chunk::79]; [DOC053::chunk::158]; [DOC109::chunk::4].
Policy implications: The absence of harmonized measurement standards limits the ability to compare results across studies and regions, making it difficult to assess policy effectiveness or design targeted interventions. Establishing standardized, transparent, and internationally coordinated monitoring systems is identified as a critical gap for effective policy design and evaluation [DOC053::chunk::158]; [DOC095::chunk::79]. Final policy decisions should consider these scientific limitations.</t>
  </si>
  <si>
    <t>**Scientific Evidence:**  
Multiple studies confirm that microplastics are present in the atmosphere across urban, rural, and remote regions, indicating significant potential for long-range atmospheric transport and deposition [DOC095::chunk::78]. Atmospheric transport is identified as a major pathway for microplastics to reach remote areas, including mountain catchments and the marine atmosphere [DOC002::chunk::71]; [DOC059::chunk::107]. Fibres and fragments are the most common forms detected, and deposition occurs via both dry and wet processes, influenced by wind, snowfall, and weathering [DOC095::chunk::78]. However, research is still in early stages, with insufficient standardized data on abundance, composition, and size distribution, especially in remote areas [DOC095::chunk::78]. There is agreement on the global reach of atmospheric microplastics, but limitations include non-standardized sampling and detection protocols, making cross-study comparisons difficult [DOC095::chunk::78].
**Possible Policy Implications:**  
The evidence suggests that microplastics should be considered as persistent atmospheric pollutants with potential for long-term, widespread environmental distribution [DOC095::chunk::78]. However, due to data gaps and methodological inconsistencies, further research is needed before establishing specific long-term pollution thresholds or regulatory measures. Final decisions should account for these uncertainties.</t>
  </si>
  <si>
    <t>Scientific evidence shows that atmospheric microplastics (MPs) are present in urban and remote environments, with synthetic textile fibres being a dominant source [DOC033::chunk::2; DOC093::chunk::4]. Human exposure can occur via inhalation and dust ingestion, especially in urban areas where concentrations are higher [DOC095::chunk::74; DOC093::chunk::4; DOC035::chunk::6]. Microplastics have been detected in human lung tissue and are associated with respiratory symptoms in occupational settings with high exposures [DOC095::chunk::74; DOC018::chunk::3]. However, for the general population, direct epidemiological evidence of health effects from environmental exposure is lacking [DOC052::chunk::53; DOC018::chunk::3]. 
Major limitations include insufficient data on airborne MP concentrations, especially for inhalable size fractions, and a lack of harmonised measurement methods [DOC014::chunk::241; DOC018::chunk::3; DOC021::chunk::266]. Most exposure estimates are based on limited locations and crude methods, making quantitative risk assessment unreliable [DOC014::chunk::245; DOC021::chunk::266]. Policymakers should note these significant evidence gaps and uncertainties when considering potential health risks and interventions.</t>
  </si>
  <si>
    <t>**Scientific Evidence:**  
Atmospheric transport is a major pathway for microplastics (MPs) to reach remote and urban regions, with deposition rates on remote tropical islands similar to those in urban areas, indicating that few, if any, coastal ecosystems remain pristine with respect to MP contamination [DOC091::chunk::37]; [DOC002::chunk::71]; [DOC059::chunk::107]. MPs originate from diverse sources, including car tyres, plastic-based textiles, household dust, and sewage effluent, and are transported via wind, precipitation, and turbulence, often traveling thousands of kilometers [DOC014::chunk::49]; [DOC029::chunk::33]; [DOC038::chunk::77]. Modeling and back-tracing methods can help identify source regions and transport pathways, but the analysis of atmospheric MPs is still nascent, with significant gaps in understanding transport mechanisms, deposition processes, and source apportionment [DOC038::chunk::77]; [DOC029::chunk::33]. There is also a lack of standardized detection and quantification methods, which limits the assessment of intervention effectiveness [DOC053::chunk::164].
**Policy Implications:**  
Current evidence highlights the complexity of the source-to-deposition pathway and the need for interdisciplinary approaches and improved monitoring to inform interventions. However, the lack of standardized methods and data gaps limit the ability to design and evaluate targeted policies for atmospheric MPs [DOC053::chunk::164]; [DOC014::chunk::240]. Final policy decisions should consider these limitations.</t>
  </si>
  <si>
    <t>**Scientific Evidence:**  
Current evidence indicates that atmospheric microplastics (AMPs) are widespread in urban, suburban, and even remote environments, exposing much of the global population to these particles [DOC093::chunk::4]; [DOC095::chunk::9]. Human exposure occurs primarily through inhalation and dust ingestion, with indoor dust being a significant source [DOC095::chunk::9]; [DOC095::chunk::74]. Microplastics have been detected in human lung tissue, and occupational studies link exposure to respiratory symptoms in workers [DOC095::chunk::74]. Toxicological studies suggest that inhaled microplastics may induce oxidative stress, inflammation, and cytotoxicity in lung tissue, but these findings are based on limited data, often using unrealistically high concentrations and poorly characterized particles, limiting their relevance to real-world exposures [DOC017::chunk::17]. There is broad agreement that data on exposure levels, health effects, and toxicological pathways are insufficient for robust risk assessment [DOC014::chunk::239]; [DOC021::chunk::24]; [DOC002::chunk::2]. Key gaps include standardized monitoring methods, quantification techniques, and understanding of long-range transport and deposition [DOC002::chunk::2]; [DOC052::chunk::12].
**Policy Relevance:**  
Given the incomplete and uncertain evidence base, policymakers should be aware that while there is potential for health impacts from atmospheric microplastics, current data are insufficient for quantitative risk assessment or for evaluating the effectiveness of specific interventions [DOC014::chunk::239]; [DOC017::chunk::17]. Further research and improved monitoring are needed before definitive policy actions can be justified. Final decisions remain with policymakers.</t>
  </si>
  <si>
    <t>**Scientific Evidence:**  
Atmospheric deposition enables microplastics to reach ecosystems through both wet (rain, snow) and dry (settling) processes, allowing particles to travel long distances and deposit in remote areas, including glaciers and wetlands [DOC095::chunk::69]; [DOC027::chunk::4]; [DOC062::chunk::7]. Studies show that atmospheric pathways can contribute more microplastics to aquatic environments than wastewater or riverine sources, with wetlands acting as significant sinks [DOC027::chunk::4]. Microplastics are transported globally by wind and atmospheric currents, and their deposition rates vary widely, with estimates up to 700 particles m⁻²·d⁻¹ in remote regions [DOC005::chunk::5]. However, the mechanisms of emission, transport, and deposition—especially for different particle sizes—are not fully understood [DOC053::chunk::24]; [DOC005::chunk::5]. There is limited quantitative data on fluxes, spatial gradients, and the specific ecological risks posed by atmospheric microplastics, particularly regarding their fate and effects after deposition [DOC049::chunk::73]; [DOC014::chunk::110]; [DOC016::chunk::542].
**Policy Implications:**  
While evidence confirms atmospheric deposition as a major pathway for microplastics into ecosystems, significant uncertainties remain about sources, transport mechanisms, deposition patterns, and ecological impacts. Further research is needed to inform effective policy responses [DOC027::chunk::6]; [DOC053::chunk::24]; [DOC016::chunk::542].</t>
  </si>
  <si>
    <t>Scientific evidence:  
There is broad agreement that differences in sampling and analytical methods significantly hinder the comparability of atmospheric microplastic (MP) studies. Variations in sampling techniques, analytical approaches, and reporting units make it difficult to compare results across studies or to relate findings to air quality guidelines and health effect thresholds [DOC003::chunk::7]; [DOC021::chunk::86]; [DOC030::chunk::43]; [DOC033::chunk::31]; [DOC095::chunk::79]. For example, some methods only detect MPs above certain sizes (often &gt;10 or &gt;50 μm), leaving the respirable fraction (&lt;2.5 μm) largely unquantified [DOC021::chunk::86]; [DOC033::chunk::31]. Passive and active sampling methods each have strengths and limitations, and environmental factors such as weather can further affect results [DOC006::chunk::15]. The lack of standardized protocols for sampling, identification, and data reporting prevents reliable synthesis of evidence and robust risk assessment [DOC030::chunk::43]; [DOC095::chunk::79].
Policy implications:  
Due to these methodological inconsistencies and data gaps, current evidence is insufficient for direct comparison with regulatory air quality standards or for comprehensive risk assessment. Standardized methods are needed before policy decisions can be reliably informed by atmospheric microplastic data [DOC033::chunk::31]; [DOC095::chunk::79]. Final decisions remain with the policymaker.</t>
  </si>
  <si>
    <t>**Scientific Evidence:**  
Reported concentrations of atmospheric microplastics are significantly higher indoors than outdoors. Studies show indoor air contains 6 to 6.5 times more microplastics than outdoor air, with indoor concentrations ranging from 1.0 to 60.0 fibres/m³ and outdoor concentrations from 0.3 to 1.5 fibres/m³, though some outdoor sites (e.g., Surabaya, Indonesia) report up to 174 particles/m³ [DOC095::chunk::41]; [DOC003::chunk::81]. The dominant size range is 100–300 μm, with fibres and fragments most common [DOC053::chunk::37]; [DOC095::chunk::63]. Indoor microplastics are linked to indoor sources and occupant activities, while outdoor concentrations are highest near industrial and urban areas [DOC053::chunk::37]. Outdoor microplastics are generally smaller and less variable than indoor ones [DOC003::chunk::81]; [DOC095::chunk::63]. Methodological differences and lack of standardization limit direct comparisons, though harmonization is improving [DOC095::chunk::41].
**Possible Policy Implications:**  
Evidence suggests indoor environments are a major source of atmospheric microplastics, and concentrations vary with proximity to sources and human activity. However, methodological limitations and data gaps remain, especially regarding standardization and global comparability. Final policy decisions should consider these uncertainties.</t>
  </si>
  <si>
    <t>**Scientific Evidence:**  
Multiple sources consistently identify tyre wear as a significant source of atmospheric microplastics (MPs). Tyre wear particles (TWPs) are recognized as a major contributor to airborne MPs globally, with estimates suggesting that 0.1–10% of generated tyre wear becomes airborne [DOC038::chunk::28], and up to 5% of tyre wear is aerosolized, amounting to approximately 146,000 tonnes per year in selected countries [DOC003::chunk::45]. Global estimates vary widely, with one study reporting 2,907,000 tonnes of airborne tyre wear annually [DOC003::chunk::45]. Tyre wear is also reported to constitute 0.1–10% of PM10 and 3–7% of PM2.5 in the atmosphere [DOC038::chunk::26]. However, there are methodological limitations: many studies do not distinguish tyre wear from other microplastics due to analytical challenges [DOC035::chunk::33], and there is a lack of empirical data on the fate and transport of TWPs [DOC045::chunk::24]. Ongoing research aims to address these gaps [DOC077::chunk::79].
**Policy Implications:**  
While evidence consistently points to tyre wear as a major source of atmospheric MPs, uncertainties in quantification and characterization limit the reliability of current estimates. Further research is needed to refine these estimates and inform effective interventions. Final decisions should consider these limitations [DOC017::chunk::7].</t>
  </si>
  <si>
    <t>**Scientific Evidence:**  
There is broad agreement that atmospheric microplastics (AMPs) can undergo long-range transport, reaching remote regions such as Antarctica and the Southern Ocean [DOC058::chunk::0], [DOC058::chunk::1]. Multiple studies confirm that AMPs originate from diverse sources and are transported by wind, with morphology (e.g., fibers vs. fragments) influencing transport efficiency—fibers are transported more efficiently over long distances [DOC058::chunk::0]. The atmosphere is recognized as a rapid and significant pathway for microplastic movement between land, ocean, and remote environments [DOC047::chunk::23], [DOC002::chunk::2]. However, there are substantial uncertainties and disagreements regarding the scale of transport and deposition. Emission estimates for long-range transported microplastics vary widely, with some studies reporting global emissions from tire wear and braking at 96 [63 to 110] Gg·y⁻¹, while others estimate up to 284 (102 to 787) Gg·y⁻¹, depending on assumptions about particle size and transport efficiency [DOC005::chunk::21]. Methodological inconsistencies, such as differences in sampling, particle identification, and size cut-offs, further complicate cross-study comparisons and contribute to uncertainty in transport and deposition estimates [DOC052::chunk::50], [DOC002::chunk::2]. There is also a lack of direct atmospheric measurements, especially over oceans, and limited understanding of how meteorological variables affect transport in different environments [DOC035::chunk::34], [DOC014::chunk::53].
**Policy Implications:**  
While evidence supports the occurrence of long-range atmospheric transport of microplastics, the scale and dynamics remain highly uncertain due to methodological limitations and knowledge gaps. Further research and standardized monitoring are needed before robust regulatory decisions can be made [DOC002::chunk::2], [DOC052::chunk::50]. Final policy decisions should consider these uncertainties.</t>
  </si>
  <si>
    <t>Scientific Evidence:
There is clear evidence that atmospheric microplastics are present in the UK, including in urban environments such as London, with deposition rates of 575–1008 microplastics/m²/day and a predominance of fibrous forms [DOC035::chunk::2]. Atmospheric transport enables microplastics to reach remote regions, and both local and long-range sources contribute to urban deposition [DOC035::chunk::6]; [DOC059::chunk::1]. However, the scientific literature highlights a paucity of evidence on the extent of atmospheric microplastic contamination and exposure in the UK, and notes significant variability in deposition rates due to differences in sampling and analytical methods [DOC062::chunk::8]. There is also a gap in systematic monitoring and targeted research on atmospheric microplastics, especially secondary microplastics from fragmentation, which are underrepresented in policy frameworks [DOC062::chunk::8].
Policy Evidence:
Current UK policy instruments addressing microplastics primarily focus on aquatic and terrestrial pathways, such as bans or controls on intentionally added microplastics, measures to minimize pellet leakage, and support for wastewater treatment improvements [DOC013::chunk::23]; [DOC022::chunk::336]. There is no direct evidence that existing UK policies specifically target atmospheric microplastic sources or deposition. The need for comprehensive policy mixes, including research, monitoring, and enabling measures, is recognized, but atmospheric microplastics remain insufficiently addressed [DOC022::chunk::338]; [DOC062::chunk::8].
Limitations and Gaps:
There is insufficient evidence of UK policy instruments explicitly covering atmospheric microplastics. Further research and policy development are needed to address this gap [DOC062::chunk::8]. Final policy decisions remain with the human policymaker.</t>
  </si>
  <si>
    <t>**Scientific Evidence:**  
Peer-reviewed research on atmospheric microplastics is rapidly expanding, with hundreds of studies quantifying their presence and exploring sources, behavior, and potential health impacts [DOC003::chunk::34]; [DOC052::chunk::27]. However, systematic reviews and expert assessments highlight significant uncertainties and gaps, particularly regarding the toxicological effects of inhaled microplastics at realistic exposure levels and their risks to human health [DOC018::chunk::2]; [DOC053::chunk::53]. The evidence base is described as provisional and not comprehensive, with calls for more environmentally relevant exposure studies and better integration of epidemiological and mechanistic data [DOC018::chunk::2]; [DOC053::chunk::53].  
**Government and Policy Documents:**  
Policy documents often acknowledge these scientific uncertainties and gaps, emphasizing the evolving nature of both the evidence base and policy context [DOC014::chunk::12]. Regulatory frameworks are described as fragmented, with limited indices to assess the impact of interventions and a lack of specific regulation for microplastics in air, food, and water [DOC053::chunk::53].  
**Comparison:**  
Both scientific and policy sources agree on the existence of knowledge gaps and the need for further research. Scientific evidence is growing but remains incomplete, while policy documents reflect and respond to these limitations, often deferring comprehensive regulation until stronger evidence emerges.  
**Limitations and Gaps:**  
There is insufficient evidence to fully assess health risks or regulatory effectiveness, and both domains highlight the need for coordinated research and policy development [DOC053::chunk::53]; [DOC018::chunk::2].  
Final decisions remain with the policymaker.</t>
  </si>
  <si>
    <t>**Scientific Evidence:**  
Current evidence on the health impacts of atmospheric microplastic (MP) exposure is limited and largely indirect. Experimental and mechanistic studies suggest inhaled MPs can induce oxidative stress, inflammation, and cellular damage, particularly in occupational settings with high exposure [DOC052::chunk::103][DOC052::chunk::61]. Some studies have found plastic fibres in human lung tissue and have linked occupational exposure to respiratory conditions such as flock worker’s lung [DOC095::chunk::74][DOC014::chunk::18]. However, direct epidemiological evidence linking environmental MP exposure to specific health outcomes in the general population is lacking [DOC052::chunk::53][DOC052::chunk::103][DOC014::chunk::18]. There is also significant uncertainty regarding exposure levels, dose–response relationships, and clinically relevant health outcomes [DOC014::chunk::241][DOC052::chunk::61]. Methodological inconsistencies and limited long-term monitoring further constrain risk assessment [DOC052::chunk::103]. In contrast, the health risks of other airborne particulates (e.g., traffic-related air pollution) are well established [DOC019::chunk::0][DOC019::chunk::11].
**Policy Implications:**  
To prove detrimental health impacts from atmospheric MPs, robust epidemiological studies, standardized exposure assessments, and long-term monitoring are needed [DOC014::chunk::241][DOC052::chunk::61]. Current evidence is insufficient to draw firm conclusions about population-level health risks from atmospheric microplastics [DOC014::chunk::18][DOC052::chunk::53]. Final policy decisions should consider these evidence gaps.</t>
  </si>
  <si>
    <t>**Scientific Evidence:**  
There is evidence that atmospheric microplastic deposition occurs widely, including in urban environments and wetlands, with deposition rates increasing alongside plastic production and usage [DOC035::chunk::36]; [DOC027::chunk::4]. Microplastics have been shown to accumulate in water, biota, and sediments, potentially disrupting ecosystems and affecting water quality [DOC053::chunk::14]. Microcosm experiments suggest unique ecological effects, such as reduced connectivity in moss phyllosphere bacterial communities, which may impact host plant health [DOC027::chunk::59]. Some locations may already have environmental concentrations exceeding predicted no-effect levels, indicating possible local ecological risks [DOC014::chunk::241]. However, the overall evidence for widespread detrimental ecological impacts remains mixed, with studies reporting both detected and non-detected effects [DOC105::chunk::69].
**Evidence Gaps and Limitations:**  
Major gaps include limited understanding of long-term ecological impacts, lack of standardized detection and quantification methods, and insufficient data on exposure and effects across ecosystems [DOC053::chunk::164]; [DOC014::chunk::241]. Most studies are constrained by sampling methods and scale, and there is considerable uncertainty about thresholds for negative effects [DOC027::chunk::59]; [DOC005::chunk::42]. This uncertainty limits the ability to develop comprehensive, evidence-based policies.</t>
  </si>
  <si>
    <t>Scientific evidence indicates that atmospheric microplastic concentrations are increasing. Temporal analyses of ombrotrophic peat cores show that microplastic deposition rates have risen substantially since the mid-20th century, with surface samples (representing recent years) containing much higher concentrations than deeper, older layers; the proportion of microplastic fibres has also increased over time [DOC003::chunk::152]. Modelling studies project that, with global plastic production expected to rise, atmospheric microplastic emissions and concentrations will likely continue to grow, especially in urban areas where sources such as tyre wear and textile fibres are concentrated [DOC059::chunk::60]. Observational data and models both show that microplastics are now ubiquitous in the atmosphere, including remote regions, due to atmospheric transport [DOC059::chunk::32]. However, there are significant data gaps, particularly regarding terrestrial and urban environments, and long-term monitoring is limited [DOC016::chunk::214]. Thus, while evidence supports an increasing trend, comprehensive global quantification remains incomplete.
Policy implications: The evidence of increasing atmospheric microplastic concentrations, especially in urban areas, highlights the need for improved monitoring and further research to address knowledge gaps and assess potential risks [DOC016::chunk::214]. Final decisions remain with policymakers.</t>
  </si>
  <si>
    <t>Scientific evidence does not currently allow one atmospheric microplastic source to be identified definitively as the highest priority for intervention. Multiple studies confirm that atmospheric microplastics originate from diverse sources, including synthetic fibers, textiles, plastic industries, and urban activities, and are found in both densely populated and remote regions [DOC030::chunk::10]; [DOC055::chunk::114]; [DOC002::chunk::12]. Source identification methods, such as polymer type analysis and atmospheric transport modeling, are advancing but remain limited in precision [DOC039::chunk::20]. There is broad agreement that the lack of standardized methods for exposure and hazard characterization, as well as insufficient high-quality quantitative data, prevents reliable risk assessment for specific sources [DOC014::chunk::259]. Furthermore, the occurrence, distribution, and fate of micro- and nanoplastics in the atmosphere are poorly understood due to methodological challenges [DOC044::chunk::2]. 
Policy implications: Given these scientific limitations, prioritizing interventions for a single source cannot be robustly justified at this time. Further interdisciplinary research and improved analytical methods are needed [DOC014::chunk::259].</t>
  </si>
  <si>
    <t>**Scientific Evidence:**  
Current evidence does not support the establishment of a safe atmospheric exposure threshold for microplastics that can be confidently applied in policy or regulation. Multiple sources highlight a lack of robust data on safe concentrations of microplastics in the environment, especially for atmospheric exposure. Proposed threshold values for marine environments are considered tentative and not derived according to established chemical safety standards, and comparable datasets for freshwater, terrestrial, or atmospheric compartments are lacking [DOC016::chunk::210]. There is a paucity of research on the toxicological effects and risks of low-level inhaled microplastics under realistic exposure scenarios, and no regulation currently exists for microplastic contamination in air, food, or drinking water [DOC053::chunk::53]. Most available evidence comes from experimental or mechanistic studies, not large-scale epidemiological research, leaving major uncertainties regarding dose–response relationships and clinically relevant health outcomes [DOC052::chunk::61]. The persistence and accumulation of microplastics further complicate risk assessment, suggesting that any release may eventually exceed safe thresholds, if such thresholds exist [DOC016::chunk::30; DOC108::chunk::214].
**Policy Implications:**  
Given these scientific uncertainties and data gaps, current evidence is insufficient to define or apply a safe atmospheric exposure threshold for microplastics in policy or regulation. Final decisions should consider this lack of robust evidence.</t>
  </si>
  <si>
    <t>Scientific Evidence:
None of the provided sources directly address the effectiveness of nuclear power generation for reducing Norway's carbon emissions. The available evidence discusses emissions from combustion plants, the impact of various energy sources on air quality, and the relationship between air pollution and greenhouse gas emissions. For example, actions to reduce emissions from medium-sized combustion plants and generators are expected to significantly reduce sulphur dioxide, particulate matter, and nitrogen oxides emissions in the UK [DOC088::chunk::175]. Additionally, shifts from conventionally powered vehicles to electric vehicles are discussed as strategies for reducing emissions, but the impact on non-exhaust particulate matter remains uncertain [DOC070::chunk::102]. However, there is no mention of nuclear power generation or its specific role in Norway's carbon emissions in the provided evidence.
Policy Implications:
Due to the lack of direct evidence regarding nuclear power and Norway's carbon emissions, no conclusions or recommendations can be drawn from these sources. Further evidence would be required to inform policy decisions on this topic.</t>
  </si>
  <si>
    <t>Scientific evidence indicates that microplastics (MPs) have been detected in UK drinking water, but reported concentrations vary widely depending on the analytical methods and particle size ranges considered. Studies cited in UK Water Industry Research (2019) confirm the presence of MPs in drinking water, but do not provide a single representative concentration, reflecting the variability and methodological limitations in current research [DOC021::chunk::295]. For example, Pivokonsky et al. reported concentrations ranging from 338 ± 76 to 628 ± 28 MPs/L in treated drinking water using μ-Raman analysis for particles down to 1 μm, while Kirstein et al. found much lower concentrations (0.022 ± 0.019 MPs/L) using μ-FTIR with a higher size detection limit (6.6 μm) [DOC109::chunk::137]. There is a general trend of higher measured concentrations with decreasing particle size, but concerns remain about the confirmation of the smallest particles as true MPs [DOC021::chunk::64]. Overall, the evidence is limited by methodological differences and a lack of standardized detection protocols, making direct comparisons and comprehensive exposure assessments difficult [DOC014::chunk::75]. 
Policy implications: The variability and limitations in current data mean that robust, standardized monitoring is needed before reliable risk assessments or regulatory decisions can be made.</t>
  </si>
  <si>
    <t>average doc cited per answer</t>
  </si>
  <si>
    <t xml:space="preserve">System 1 v2 </t>
  </si>
  <si>
    <t xml:space="preserve">System 3 v2 </t>
  </si>
  <si>
    <t xml:space="preserve">System 4 v2 </t>
  </si>
  <si>
    <t xml:space="preserve">In tokens </t>
  </si>
  <si>
    <t>says no and explains estimates disagree so ranking sources instead of just picking one.</t>
  </si>
  <si>
    <t xml:space="preserve">  that there is no papers that ranks scoures of amps in tersm what waht is the main cuse. And stiddies state that there is an increase in certain areas but there isnt an exasutuve comparitve review </t>
  </si>
  <si>
    <t xml:space="preserve"> COMEAP states that without exposure, epidemiological and toxicological data it is not possible to describe a concentration-response relationship. And this woild be needed to create a robust threshold. </t>
  </si>
  <si>
    <t>must use or suggest the pm2.5 measnuremtns that are fonud in the who doucments  as this is for a different type of mesaurments.</t>
  </si>
  <si>
    <t>there should be nothing as there is nothing on nroway or nuclea power in the coupus</t>
  </si>
  <si>
    <t>should be stated tahtthere isnt evidance on this in the corpus.</t>
  </si>
  <si>
    <t>it should say that the socurs have  no UK measurements.</t>
  </si>
  <si>
    <t xml:space="preserve">that the sampled cites were below the limit of quanification. </t>
  </si>
  <si>
    <t xml:space="preserve">exposure is shown but harm is not. you need exposure, epidemiology and toxicology data together before you can link a dose to an effect. the toxicology is on cells not people and at much higher levels than are measured in air.</t>
  </si>
  <si>
    <t xml:space="preserve">should say what proof would need first, then list what exists. should keep proven harm apart from suspected harm and not treat exposure as proof of harm.</t>
  </si>
  <si>
    <t xml:space="preserve">should keep the solid conclusions apart from the bits where the scale or the mechanism is still uncertain.</t>
  </si>
  <si>
    <t xml:space="preserve">must not use or suggest the pm2.5 measnuremtns that are fonud in the who doucments  as this is for a different type of mesaurments.</t>
  </si>
  <si>
    <t xml:space="preserve">no corpus citations at all, every number is an outside reference so none of it can be traced back. the estimates dont agree either, they range from 5-10% up to 30%.</t>
  </si>
  <si>
    <t xml:space="preserve">says the evidence is limited and does list what is needed, but it opens with the conclusion instead of saying a dose response link is what proof would actually need.</t>
  </si>
  <si>
    <t xml:space="preserve">the coupus does have UK tap water figures in DOC021 chunks 59 and 60, most of them below the limit of quantification. no system retrieved them so this is a retrieval fail not a gap in the coupus.</t>
  </si>
  <si>
    <t xml:space="preserve">comeap says you cant describe a dose response relationship without exposure, epidemiology and toxicology data. And this woild be needed to create a robust threshold.</t>
  </si>
  <si>
    <t xml:space="preserve">Reoports a rang of different reuslts and making sure to state the differnces in methods as well as sepesrating the differances caused by the diffrent envroments from the differances in methods</t>
  </si>
  <si>
    <t xml:space="preserve">should name the main sources and be clear where the coupus does or does not support prioritising them. Aswell as not giving a ranking as a ranking of the different methods is not given in the coupus.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</si>
</sst>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scheme val="minor"/>
    </font>
    <font>
      <b/>
      <sz val="14"/>
      <color rgb="FF000000"/>
      <name val="Calibri"/>
      <family val="2"/>
    </font>
    <font>
      <i/>
      <sz val="9"/>
      <color rgb="FF000000"/>
      <name val="Calibri"/>
      <family val="2"/>
    </font>
    <font>
      <b/>
      <sz val="9"/>
      <color rgb="FF000000"/>
      <name val="Calibri"/>
      <family val="2"/>
    </font>
    <font>
      <sz val="9"/>
      <color rgb="FF000000"/>
      <name val="Calibri"/>
      <family val="2"/>
    </font>
    <font>
      <i/>
      <sz val="11"/>
      <color rgb="FF000000"/>
      <name val="Calibri"/>
      <family val="2"/>
    </font>
    <font>
      <b/>
      <sz val="11"/>
      <color rgb="FF000000"/>
      <name val="Calibri"/>
      <family val="2"/>
    </font>
    <font>
      <i/>
      <sz val="11"/>
      <color rgb="FF000000"/>
      <name val="Calibri"/>
      <family val="2"/>
    </font>
    <font>
      <b/>
      <sz val="12"/>
      <color rgb="FF000000"/>
      <name val="Calibri"/>
      <family val="2"/>
    </font>
    <font>
      <b/>
      <sz val="11"/>
      <color rgb="FF000000"/>
      <name val="Calibri"/>
      <family val="2"/>
    </font>
    <font>
      <b/>
      <sz val="9"/>
      <color rgb="FF000000"/>
      <name val="Calibri"/>
      <family val="2"/>
    </font>
    <font>
      <sz val="11"/>
      <color rgb="FF000000"/>
      <name val="Calibri"/>
      <family val="2"/>
    </font>
  </fonts>
  <fills count="11">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3" borderId="1" xfId="0" applyFont="1" applyFill="1" applyBorder="1" applyAlignment="1">
      <alignment horizontal="center" vertical="center" wrapText="1"/>
    </xf>
    <xf numFmtId="0" fontId="0" fillId="0" borderId="1" xfId="0" applyBorder="1"/>
    <xf numFmtId="9" fontId="0" fillId="0" borderId="1" xfId="0" applyNumberFormat="1" applyBorder="1"/>
    <xf numFmtId="0" fontId="6" fillId="0" borderId="0" xfId="0" applyFont="1"/>
    <xf numFmtId="0" fontId="0" fillId="0" borderId="1" xfId="0" applyBorder="1" applyAlignment="1">
      <alignment vertical="top" wrapText="1"/>
    </xf>
    <xf numFmtId="0" fontId="4" fillId="0" borderId="1" xfId="0" applyFont="1" applyBorder="1" applyAlignment="1">
      <alignment vertical="top" wrapText="1"/>
    </xf>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0" fontId="0" fillId="4" borderId="1" xfId="0" applyFill="1" applyBorder="1" applyAlignment="1">
      <alignment horizontal="center" vertical="center" wrapText="1"/>
    </xf>
    <xf numFmtId="0" fontId="5" fillId="5"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0" fillId="0" borderId="0" xfId="0" applyAlignment="1">
      <alignment vertical="top" wrapText="1"/>
    </xf>
    <xf numFmtId="0" fontId="7" fillId="7"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8" fillId="0" borderId="0" xfId="0" applyFont="1"/>
    <xf numFmtId="0" fontId="0" fillId="9" borderId="1" xfId="0" applyFill="1" applyBorder="1" applyAlignment="1">
      <alignment horizontal="center" vertical="center" wrapText="1"/>
    </xf>
    <xf numFmtId="0" fontId="10" fillId="0" borderId="0" xfId="0" applyFont="1" applyAlignment="1">
      <alignment horizontal="center" wrapText="1"/>
    </xf>
    <xf numFmtId="0" fontId="9" fillId="0" borderId="0" xfId="0" applyFont="1"/>
    <xf numFmtId="2" fontId="0" fillId="0" borderId="2" xfId="0" applyNumberFormat="1" applyBorder="1" applyAlignment="1">
      <alignment horizontal="center" vertical="center"/>
    </xf>
    <xf numFmtId="0" fontId="10" fillId="0" borderId="2" xfId="0" applyFont="1" applyBorder="1" applyAlignment="1">
      <alignment horizontal="center" wrapText="1"/>
    </xf>
    <xf numFmtId="0" fontId="0" fillId="0" borderId="2" xfId="0" applyBorder="1"/>
    <xf numFmtId="0" fontId="0" fillId="0" borderId="2" xfId="0" applyBorder="1" applyAlignment="1">
      <alignment horizontal="center" vertical="center"/>
    </xf>
    <xf numFmtId="0" fontId="9" fillId="10" borderId="2" xfId="0" applyFont="1" applyFill="1" applyBorder="1"/>
    <xf numFmtId="9" fontId="9" fillId="10" borderId="2" xfId="0" applyNumberFormat="1" applyFont="1" applyFill="1" applyBorder="1"/>
    <xf numFmtId="0" fontId="11" fillId="0" borderId="0" xfId="0" applyFont="1" applyAlignment="1">
      <alignment vertical="top" wrapText="1"/>
    </xf>
    <xf numFmtId="0" fontId="3" fillId="2" borderId="0" xfId="0" applyFont="1" applyFill="1" applyAlignment="1">
      <alignment horizontal="center" vertical="center" wrapText="1"/>
    </xf>
    <xf numFmtId="0" fontId="0" fillId="0" borderId="0" xfId="0"/>
    <xf numFmtId="0" fontId="3" fillId="3" borderId="0" xfId="0" applyFont="1" applyFill="1" applyAlignment="1">
      <alignment horizontal="center" vertical="center" wrapText="1"/>
    </xf>
    <xf numFmtId="0" fontId="0" fillId="0" borderId="0" xfId="0" applyAlignment="1">
      <alignment vertical="top" wrapText="1"/>
    </xf>
    <xf numFmtId="0" fontId="3" fillId="0" borderId="2"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workbookViewId="0">
      <selection activeCell="D28" sqref="D28"/>
    </sheetView>
  </sheetViews>
  <sheetFormatPr baseColWidth="10" defaultColWidth="8.83203125" defaultRowHeight="15" x14ac:dyDescent="0.2"/>
  <cols>
    <col min="1" max="1" width="26" customWidth="1"/>
    <col min="2" max="8" width="13" customWidth="1"/>
  </cols>
  <sheetData>
    <row r="1" spans="1:8" ht="19" customHeight="1" x14ac:dyDescent="0.25">
      <c r="A1" s="1"/>
    </row>
    <row r="2" spans="1:8" x14ac:dyDescent="0.2">
      <c r="A2" s="2"/>
    </row>
    <row r="4" spans="1:8" ht="26" x14ac:dyDescent="0.2">
      <c r="A4" s="3" t="s">
        <v>199</v>
      </c>
      <c r="B4" s="3" t="s">
        <v>200</v>
      </c>
      <c r="C4" s="3" t="s">
        <v>201</v>
      </c>
      <c r="D4" s="3" t="s">
        <v>202</v>
      </c>
    </row>
    <row r="5" spans="1:8" x14ac:dyDescent="0.2">
      <c r="A5" s="4" t="s">
        <v>203</v>
      </c>
      <c r="B5" s="4">
        <f>'System 1 v2'!X27</f>
        <v>11</v>
      </c>
      <c r="C5" s="4">
        <f>'System 1 v2'!X28</f>
        <v>7.75</v>
      </c>
      <c r="D5" s="5">
        <f>'System 1 v2'!Y29</f>
        <v>0.5223809523809525</v>
      </c>
    </row>
    <row r="6" spans="1:8" x14ac:dyDescent="0.2">
      <c r="A6" s="4" t="s">
        <v>204</v>
      </c>
      <c r="B6" s="4">
        <f>'System 2 v2'!X27</f>
        <v>14.25</v>
      </c>
      <c r="C6" s="4">
        <f>'System 2 v2'!X28</f>
        <v>10.5</v>
      </c>
      <c r="D6" s="5">
        <f>'System 2 v2'!Y29</f>
        <v>0.68285714285714283</v>
      </c>
    </row>
    <row r="7" spans="1:8" x14ac:dyDescent="0.2">
      <c r="A7" s="4" t="s">
        <v>205</v>
      </c>
      <c r="B7" s="4">
        <f>'System 3 v2'!X27</f>
        <v>14.9375</v>
      </c>
      <c r="C7" s="4">
        <f>'System 3 v2'!X28</f>
        <v>11.25</v>
      </c>
      <c r="D7" s="5">
        <f>'System 3 v2'!Y29</f>
        <v>0.71904761904761905</v>
      </c>
    </row>
    <row r="8" spans="1:8" x14ac:dyDescent="0.2">
      <c r="A8" s="4" t="s">
        <v>206</v>
      </c>
      <c r="B8" s="4">
        <f>'System 4 v2'!X27</f>
        <v>14.625</v>
      </c>
      <c r="C8" s="4">
        <f>'System 4 v2'!X28</f>
        <v>10.75</v>
      </c>
      <c r="D8" s="5">
        <f>'System 4 v2'!Y29</f>
        <v>0.70047619047619047</v>
      </c>
    </row>
    <row r="10" spans="1:8" x14ac:dyDescent="0.2">
      <c r="A10" s="6"/>
    </row>
    <row r="11" spans="1:8" ht="16" x14ac:dyDescent="0.2">
      <c r="A11" s="17"/>
    </row>
    <row r="12" spans="1:8" x14ac:dyDescent="0.2">
      <c r="A12" t="s">
        <v>69</v>
      </c>
      <c r="B12" s="19" t="s">
        <v>207</v>
      </c>
      <c r="C12" s="19" t="s">
        <v>208</v>
      </c>
      <c r="D12" s="19" t="s">
        <v>209</v>
      </c>
      <c r="E12" s="19" t="s">
        <v>210</v>
      </c>
      <c r="F12" s="19" t="s">
        <v>211</v>
      </c>
      <c r="G12" s="19" t="s">
        <v>212</v>
      </c>
      <c r="H12" s="19" t="s">
        <v>213</v>
      </c>
    </row>
    <row r="13" spans="1:8" x14ac:dyDescent="0.2">
      <c r="A13" s="20" t="s">
        <v>203</v>
      </c>
      <c r="B13" s="21">
        <f>AVERAGE('System 1 v2'!P6:P21)</f>
        <v>1.875</v>
      </c>
      <c r="C13" s="21">
        <f>AVERAGE('System 1 v2'!Q6:Q21)</f>
        <v>1.5625</v>
      </c>
      <c r="D13" s="21">
        <f>AVERAGE('System 1 v2'!R6:R21)</f>
        <v>1.375</v>
      </c>
      <c r="E13" s="21">
        <f>AVERAGE('System 1 v2'!S6:S21)</f>
        <v>1.375</v>
      </c>
      <c r="F13" s="21">
        <f>AVERAGE('System 1 v2'!T6:T21)</f>
        <v>1.9375</v>
      </c>
      <c r="G13" s="21">
        <f>AVERAGE('System 1 v2'!U6:U21)</f>
        <v>1.625</v>
      </c>
      <c r="H13" s="21">
        <f>AVERAGE('System 1 v2'!V6:V21)</f>
        <v>1.25</v>
      </c>
    </row>
    <row r="14" spans="1:8" x14ac:dyDescent="0.2">
      <c r="A14" s="20" t="s">
        <v>204</v>
      </c>
      <c r="B14" s="21">
        <f>AVERAGE('System 2 v2'!P6:P21)</f>
        <v>2</v>
      </c>
      <c r="C14" s="21">
        <f>AVERAGE('System 2 v2'!Q6:Q21)</f>
        <v>2</v>
      </c>
      <c r="D14" s="21">
        <f>AVERAGE('System 2 v2'!R6:R21)</f>
        <v>1.875</v>
      </c>
      <c r="E14" s="21">
        <f>AVERAGE('System 2 v2'!S6:S21)</f>
        <v>1.9375</v>
      </c>
      <c r="F14" s="21">
        <f>AVERAGE('System 2 v2'!T6:T21)</f>
        <v>2.5</v>
      </c>
      <c r="G14" s="21">
        <f>AVERAGE('System 2 v2'!U6:U21)</f>
        <v>2.125</v>
      </c>
      <c r="H14" s="21">
        <f>AVERAGE('System 2 v2'!V6:V21)</f>
        <v>1.8125</v>
      </c>
    </row>
    <row r="15" spans="1:8" x14ac:dyDescent="0.2">
      <c r="A15" s="20" t="s">
        <v>205</v>
      </c>
      <c r="B15" s="21">
        <f>AVERAGE('System 3 v2'!P6:P21)</f>
        <v>2.75</v>
      </c>
      <c r="C15" s="21">
        <f>AVERAGE('System 3 v2'!Q6:Q21)</f>
        <v>2</v>
      </c>
      <c r="D15" s="21">
        <f>AVERAGE('System 3 v2'!R6:R21)</f>
        <v>1.875</v>
      </c>
      <c r="E15" s="21">
        <f>AVERAGE('System 3 v2'!S6:S21)</f>
        <v>1.9375</v>
      </c>
      <c r="F15" s="21">
        <f>AVERAGE('System 3 v2'!T6:T21)</f>
        <v>2.375</v>
      </c>
      <c r="G15" s="21">
        <f>AVERAGE('System 3 v2'!U6:U21)</f>
        <v>2.1875</v>
      </c>
      <c r="H15" s="21">
        <f>AVERAGE('System 3 v2'!V6:V21)</f>
        <v>1.8125</v>
      </c>
    </row>
    <row r="16" spans="1:8" x14ac:dyDescent="0.2">
      <c r="A16" s="20" t="s">
        <v>206</v>
      </c>
      <c r="B16" s="21">
        <f>AVERAGE('System 4 v2'!P6:P21)</f>
        <v>2.0625</v>
      </c>
      <c r="C16" s="21">
        <f>AVERAGE('System 4 v2'!Q6:Q21)</f>
        <v>1.9375</v>
      </c>
      <c r="D16" s="21">
        <f>AVERAGE('System 4 v2'!R6:R21)</f>
        <v>1.8125</v>
      </c>
      <c r="E16" s="21">
        <f>AVERAGE('System 4 v2'!S6:S21)</f>
        <v>2</v>
      </c>
      <c r="F16" s="21">
        <f>AVERAGE('System 4 v2'!T6:T21)</f>
        <v>2.75</v>
      </c>
      <c r="G16" s="21">
        <f>AVERAGE('System 4 v2'!U6:U21)</f>
        <v>2.1875</v>
      </c>
      <c r="H16" s="21">
        <f>AVERAGE('System 4 v2'!V6:V21)</f>
        <v>1.875</v>
      </c>
    </row>
    <row r="19" spans="1:7" ht="16" x14ac:dyDescent="0.2">
      <c r="A19" s="17"/>
    </row>
    <row r="20" spans="1:7" ht="27" x14ac:dyDescent="0.2">
      <c r="A20" s="22" t="s">
        <v>199</v>
      </c>
      <c r="B20" s="22" t="s">
        <v>214</v>
      </c>
      <c r="C20" s="22" t="s">
        <v>215</v>
      </c>
      <c r="D20" s="22" t="s">
        <v>216</v>
      </c>
      <c r="E20" s="22" t="s">
        <v>217</v>
      </c>
      <c r="F20" s="22" t="s">
        <v>218</v>
      </c>
      <c r="G20" s="32" t="s">
        <v>468</v>
      </c>
    </row>
    <row r="21" spans="1:7" x14ac:dyDescent="0.2">
      <c r="A21" s="23" t="s">
        <v>203</v>
      </c>
      <c r="B21" s="24">
        <v>320</v>
      </c>
      <c r="C21" s="24" t="s">
        <v>219</v>
      </c>
      <c r="D21" s="24">
        <v>30.9</v>
      </c>
      <c r="E21" s="24" t="s">
        <v>220</v>
      </c>
      <c r="F21" s="24">
        <v>6</v>
      </c>
      <c r="G21" s="24">
        <v>3.6</v>
      </c>
    </row>
    <row r="22" spans="1:7" x14ac:dyDescent="0.2">
      <c r="A22" s="23" t="s">
        <v>204</v>
      </c>
      <c r="B22" s="24">
        <v>180</v>
      </c>
      <c r="C22" s="24" t="s">
        <v>221</v>
      </c>
      <c r="D22" s="24">
        <v>2.1</v>
      </c>
      <c r="E22" s="24" t="s">
        <v>222</v>
      </c>
      <c r="F22" s="24">
        <v>0</v>
      </c>
      <c r="G22" s="24">
        <v>4.2</v>
      </c>
    </row>
    <row r="23" spans="1:7" x14ac:dyDescent="0.2">
      <c r="A23" s="23" t="s">
        <v>205</v>
      </c>
      <c r="B23" s="24">
        <v>143</v>
      </c>
      <c r="C23" s="24" t="s">
        <v>223</v>
      </c>
      <c r="D23" s="24">
        <v>35.1</v>
      </c>
      <c r="E23" s="24" t="s">
        <v>224</v>
      </c>
      <c r="F23" s="24">
        <v>0</v>
      </c>
      <c r="G23" s="24">
        <v>4.0999999999999996</v>
      </c>
    </row>
    <row r="24" spans="1:7" x14ac:dyDescent="0.2">
      <c r="A24" s="23" t="s">
        <v>206</v>
      </c>
      <c r="B24" s="24">
        <v>184</v>
      </c>
      <c r="C24" s="24" t="s">
        <v>221</v>
      </c>
      <c r="D24" s="24">
        <v>6.6</v>
      </c>
      <c r="E24" s="24" t="s">
        <v>224</v>
      </c>
      <c r="F24" s="24">
        <v>0</v>
      </c>
      <c r="G24" s="24">
        <v>5.3</v>
      </c>
    </row>
    <row r="26" spans="1:7" ht="16" x14ac:dyDescent="0.2">
      <c r="A26" s="17"/>
    </row>
    <row r="27" spans="1:7" ht="52" customHeight="1" x14ac:dyDescent="0.2">
      <c r="A27" s="31"/>
      <c r="B27" s="29"/>
      <c r="C27" s="29"/>
      <c r="D27" s="29"/>
      <c r="E27" s="29"/>
      <c r="F27" s="29"/>
      <c r="G27" s="29"/>
    </row>
    <row r="30" spans="1:7" ht="52" customHeight="1" x14ac:dyDescent="0.2">
      <c r="A30" s="31"/>
      <c r="B30" s="29"/>
      <c r="C30" s="29"/>
      <c r="D30" s="29"/>
      <c r="E30" s="29"/>
      <c r="F30" s="29"/>
      <c r="G30" s="29"/>
    </row>
    <row r="33" spans="1:7" ht="52" customHeight="1" x14ac:dyDescent="0.2">
      <c r="A33" s="31"/>
      <c r="B33" s="29"/>
      <c r="C33" s="29"/>
      <c r="D33" s="29"/>
      <c r="E33" s="29"/>
      <c r="F33" s="29"/>
      <c r="G33" s="29"/>
    </row>
    <row r="36" spans="1:7" ht="52" customHeight="1" x14ac:dyDescent="0.2">
      <c r="A36" s="31"/>
      <c r="B36" s="29"/>
      <c r="C36" s="29"/>
      <c r="D36" s="29"/>
      <c r="E36" s="29"/>
      <c r="F36" s="29"/>
      <c r="G36" s="29"/>
    </row>
    <row r="39" spans="1:7" ht="52" customHeight="1" x14ac:dyDescent="0.2">
      <c r="A39" s="31"/>
      <c r="B39" s="29"/>
      <c r="C39" s="29"/>
      <c r="D39" s="29"/>
      <c r="E39" s="29"/>
      <c r="F39" s="29"/>
      <c r="G39" s="29"/>
    </row>
    <row r="42" spans="1:7" ht="52" customHeight="1" x14ac:dyDescent="0.2">
      <c r="A42" s="31"/>
      <c r="B42" s="29"/>
      <c r="C42" s="29"/>
      <c r="D42" s="29"/>
      <c r="E42" s="29"/>
      <c r="F42" s="29"/>
      <c r="G42" s="29"/>
    </row>
    <row r="45" spans="1:7" ht="52" customHeight="1" x14ac:dyDescent="0.2">
      <c r="A45" s="31"/>
      <c r="B45" s="29"/>
      <c r="C45" s="29"/>
      <c r="D45" s="29"/>
      <c r="E45" s="29"/>
      <c r="F45" s="29"/>
      <c r="G45" s="29"/>
    </row>
    <row r="48" spans="1:7" x14ac:dyDescent="0.2">
      <c r="A48" s="27"/>
    </row>
    <row r="51" spans="1:1" x14ac:dyDescent="0.2">
      <c r="A51" s="14"/>
    </row>
  </sheetData>
  <mergeCells count="7">
    <mergeCell ref="A36:G36"/>
    <mergeCell ref="A27:G27"/>
    <mergeCell ref="A45:G45"/>
    <mergeCell ref="A39:G39"/>
    <mergeCell ref="A30:G30"/>
    <mergeCell ref="A33:G33"/>
    <mergeCell ref="A42:G4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9"/>
  <sheetViews>
    <sheetView tabSelected="1" zoomScale="132" workbookViewId="0">
      <pane xSplit="5" ySplit="5" topLeftCell="G22" activePane="bottomRight" state="frozen"/>
      <selection pane="topRight"/>
      <selection pane="bottomLeft"/>
      <selection pane="bottomRight" activeCell="G25" sqref="G25"/>
    </sheetView>
  </sheetViews>
  <sheetFormatPr baseColWidth="10" defaultColWidth="8.83203125" defaultRowHeight="15" x14ac:dyDescent="0.2"/>
  <cols>
    <col min="1" max="1" width="7" customWidth="1"/>
    <col min="2" max="2" width="22" customWidth="1"/>
    <col min="3" max="3" width="10" customWidth="1"/>
    <col min="4" max="4" width="18" customWidth="1"/>
    <col min="5" max="5" width="42" customWidth="1"/>
    <col min="6" max="6" width="28" customWidth="1"/>
    <col min="7" max="7" width="44" customWidth="1"/>
    <col min="8" max="8" width="40" customWidth="1"/>
    <col min="9" max="9" width="34" customWidth="1"/>
    <col min="10" max="10" width="20" customWidth="1"/>
    <col min="11" max="11" width="7" customWidth="1"/>
    <col min="12" max="12" width="8" customWidth="1"/>
    <col min="13" max="14" width="9" customWidth="1"/>
    <col min="15" max="15" width="8" customWidth="1"/>
    <col min="16" max="22" width="4" customWidth="1"/>
    <col min="23" max="25" width="7" customWidth="1"/>
    <col min="26" max="26" width="76" customWidth="1"/>
    <col min="27" max="27" width="92" customWidth="1"/>
    <col min="28" max="28" width="13" customWidth="1"/>
    <col min="29" max="29" width="26" customWidth="1"/>
  </cols>
  <sheetData>
    <row r="1" spans="1:29" ht="19" customHeight="1" x14ac:dyDescent="0.25">
      <c r="A1" s="1" t="s">
        <v>469</v>
      </c>
    </row>
    <row r="2" spans="1:29" x14ac:dyDescent="0.2">
      <c r="A2" s="2"/>
    </row>
    <row r="4" spans="1:29" x14ac:dyDescent="0.2">
      <c r="F4" s="28" t="s">
        <v>0</v>
      </c>
      <c r="G4" s="29"/>
      <c r="H4" s="29"/>
      <c r="I4" s="30" t="s">
        <v>1</v>
      </c>
      <c r="J4" s="29"/>
      <c r="K4" s="29"/>
      <c r="L4" s="29"/>
      <c r="M4" s="29"/>
      <c r="N4" s="29"/>
      <c r="O4" s="29"/>
      <c r="P4" s="30" t="s">
        <v>2</v>
      </c>
      <c r="Q4" s="29"/>
      <c r="R4" s="29"/>
      <c r="S4" s="29"/>
      <c r="T4" s="29"/>
      <c r="U4" s="29"/>
      <c r="V4" s="29"/>
      <c r="W4" s="29"/>
      <c r="X4" s="29"/>
      <c r="Y4" s="29"/>
    </row>
    <row r="5" spans="1:29" ht="42" customHeight="1" x14ac:dyDescent="0.2">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c r="U5" s="3" t="s">
        <v>23</v>
      </c>
      <c r="V5" s="3" t="s">
        <v>24</v>
      </c>
      <c r="W5" s="3" t="s">
        <v>25</v>
      </c>
      <c r="X5" s="3" t="s">
        <v>26</v>
      </c>
      <c r="Y5" s="3" t="s">
        <v>27</v>
      </c>
      <c r="Z5" s="3" t="s">
        <v>28</v>
      </c>
      <c r="AA5" s="3" t="s">
        <v>29</v>
      </c>
      <c r="AB5" s="20" t="s">
        <v>30</v>
      </c>
      <c r="AC5" s="20" t="s">
        <v>31</v>
      </c>
    </row>
    <row r="6" spans="1:29" ht="150" customHeight="1" x14ac:dyDescent="0.2">
      <c r="A6" s="7" t="s">
        <v>32</v>
      </c>
      <c r="B6" s="7" t="s">
        <v>33</v>
      </c>
      <c r="C6" s="7" t="s">
        <v>34</v>
      </c>
      <c r="D6" s="7" t="s">
        <v>35</v>
      </c>
      <c r="E6" s="7" t="s">
        <v>36</v>
      </c>
      <c r="F6" s="8" t="s">
        <v>37</v>
      </c>
      <c r="G6" s="8" t="s">
        <v>38</v>
      </c>
      <c r="H6" s="8" t="s">
        <v>490</v>
      </c>
      <c r="I6" s="9" t="s">
        <v>40</v>
      </c>
      <c r="J6" s="9" t="s">
        <v>41</v>
      </c>
      <c r="K6" s="9">
        <v>325</v>
      </c>
      <c r="L6" s="9">
        <v>41.396000000000001</v>
      </c>
      <c r="M6" s="9">
        <v>1871</v>
      </c>
      <c r="N6" s="9">
        <v>478</v>
      </c>
      <c r="O6" s="9">
        <v>0</v>
      </c>
      <c r="P6" s="9">
        <v>2</v>
      </c>
      <c r="Q6" s="9">
        <v>1</v>
      </c>
      <c r="R6" s="9">
        <v>2</v>
      </c>
      <c r="S6" s="9">
        <v>2</v>
      </c>
      <c r="T6" s="9">
        <v>2</v>
      </c>
      <c r="U6" s="9">
        <v>1</v>
      </c>
      <c r="V6" s="11">
        <v>1</v>
      </c>
      <c r="W6" s="9">
        <v>21</v>
      </c>
      <c r="X6" s="9">
        <f t="shared" ref="X6:X25" si="0">IF(COUNT(P6:V6)=0,"",SUM(P6:V6))</f>
        <v>11</v>
      </c>
      <c r="Y6" s="10">
        <f t="shared" ref="Y6:Y21" si="1">IF(X6="","",X6/21)</f>
        <v>0.52380952380952384</v>
      </c>
      <c r="Z6" s="7" t="s">
        <v>334</v>
      </c>
      <c r="AA6" s="7" t="s">
        <v>395</v>
      </c>
      <c r="AB6" t="s">
        <v>225</v>
      </c>
      <c r="AC6" t="s">
        <v>226</v>
      </c>
    </row>
    <row r="7" spans="1:29" ht="150" customHeight="1" x14ac:dyDescent="0.2">
      <c r="A7" s="7" t="s">
        <v>43</v>
      </c>
      <c r="B7" s="7" t="s">
        <v>33</v>
      </c>
      <c r="C7" s="7" t="s">
        <v>34</v>
      </c>
      <c r="D7" s="7" t="s">
        <v>44</v>
      </c>
      <c r="E7" s="7" t="s">
        <v>45</v>
      </c>
      <c r="F7" s="8" t="s">
        <v>46</v>
      </c>
      <c r="G7" s="8" t="s">
        <v>47</v>
      </c>
      <c r="H7" s="8" t="s">
        <v>48</v>
      </c>
      <c r="I7" s="9" t="s">
        <v>49</v>
      </c>
      <c r="J7" s="9" t="s">
        <v>41</v>
      </c>
      <c r="K7" s="9">
        <v>378</v>
      </c>
      <c r="L7" s="9">
        <v>36.348999999999997</v>
      </c>
      <c r="M7" s="9">
        <v>1960</v>
      </c>
      <c r="N7" s="9">
        <v>532</v>
      </c>
      <c r="O7" s="9">
        <v>0</v>
      </c>
      <c r="P7" s="9">
        <v>1</v>
      </c>
      <c r="Q7" s="9">
        <v>2</v>
      </c>
      <c r="R7" s="9">
        <v>2</v>
      </c>
      <c r="S7" s="9">
        <v>1</v>
      </c>
      <c r="T7" s="18">
        <v>3</v>
      </c>
      <c r="U7" s="9">
        <v>1</v>
      </c>
      <c r="V7" s="9">
        <v>1</v>
      </c>
      <c r="W7" s="9">
        <v>21</v>
      </c>
      <c r="X7" s="9">
        <f t="shared" si="0"/>
        <v>11</v>
      </c>
      <c r="Y7" s="10">
        <f t="shared" si="1"/>
        <v>0.52380952380952384</v>
      </c>
      <c r="Z7" s="7" t="s">
        <v>335</v>
      </c>
      <c r="AA7" s="7" t="s">
        <v>396</v>
      </c>
      <c r="AB7" t="s">
        <v>225</v>
      </c>
      <c r="AC7" t="s">
        <v>227</v>
      </c>
    </row>
    <row r="8" spans="1:29" ht="150" customHeight="1" x14ac:dyDescent="0.2">
      <c r="A8" s="7" t="s">
        <v>51</v>
      </c>
      <c r="B8" s="7" t="s">
        <v>33</v>
      </c>
      <c r="C8" s="7" t="s">
        <v>52</v>
      </c>
      <c r="D8" s="7" t="s">
        <v>53</v>
      </c>
      <c r="E8" s="7" t="s">
        <v>54</v>
      </c>
      <c r="F8" s="8" t="s">
        <v>55</v>
      </c>
      <c r="G8" s="8" t="s">
        <v>56</v>
      </c>
      <c r="H8" s="8" t="s">
        <v>57</v>
      </c>
      <c r="I8" s="9" t="s">
        <v>58</v>
      </c>
      <c r="J8" s="11" t="s">
        <v>228</v>
      </c>
      <c r="K8" s="9">
        <v>347</v>
      </c>
      <c r="L8" s="9">
        <v>35.378</v>
      </c>
      <c r="M8" s="9">
        <v>2503</v>
      </c>
      <c r="N8" s="9">
        <v>495</v>
      </c>
      <c r="O8" s="9">
        <v>0</v>
      </c>
      <c r="P8" s="9">
        <v>2</v>
      </c>
      <c r="Q8" s="9">
        <v>1</v>
      </c>
      <c r="R8" s="9">
        <v>0</v>
      </c>
      <c r="S8" s="9">
        <v>1</v>
      </c>
      <c r="T8" s="18">
        <v>2</v>
      </c>
      <c r="U8" s="11">
        <v>1</v>
      </c>
      <c r="V8" s="9">
        <v>1</v>
      </c>
      <c r="W8" s="9">
        <v>21</v>
      </c>
      <c r="X8" s="9">
        <f t="shared" si="0"/>
        <v>8</v>
      </c>
      <c r="Y8" s="10">
        <f t="shared" si="1"/>
        <v>0.38095238095238093</v>
      </c>
      <c r="Z8" s="7" t="s">
        <v>336</v>
      </c>
      <c r="AA8" s="7" t="s">
        <v>397</v>
      </c>
      <c r="AB8" t="s">
        <v>225</v>
      </c>
      <c r="AC8" t="s">
        <v>229</v>
      </c>
    </row>
    <row r="9" spans="1:29" ht="150" customHeight="1" x14ac:dyDescent="0.2">
      <c r="A9" s="7" t="s">
        <v>60</v>
      </c>
      <c r="B9" s="7" t="s">
        <v>33</v>
      </c>
      <c r="C9" s="7" t="s">
        <v>52</v>
      </c>
      <c r="D9" s="7" t="s">
        <v>61</v>
      </c>
      <c r="E9" s="7" t="s">
        <v>62</v>
      </c>
      <c r="F9" s="8" t="s">
        <v>63</v>
      </c>
      <c r="G9" s="8" t="s">
        <v>64</v>
      </c>
      <c r="H9" s="8" t="s">
        <v>65</v>
      </c>
      <c r="I9" s="9" t="s">
        <v>66</v>
      </c>
      <c r="J9" s="9" t="s">
        <v>41</v>
      </c>
      <c r="K9" s="9">
        <v>243</v>
      </c>
      <c r="L9" s="9">
        <v>24.704999999999998</v>
      </c>
      <c r="M9" s="9">
        <v>2088</v>
      </c>
      <c r="N9" s="9">
        <v>345</v>
      </c>
      <c r="O9" s="9">
        <v>0</v>
      </c>
      <c r="P9" s="9">
        <v>2</v>
      </c>
      <c r="Q9" s="9">
        <v>2</v>
      </c>
      <c r="R9" s="11">
        <v>1</v>
      </c>
      <c r="S9" s="9">
        <v>1</v>
      </c>
      <c r="T9" s="18">
        <v>2</v>
      </c>
      <c r="U9" s="11">
        <v>1</v>
      </c>
      <c r="V9" s="9">
        <v>1</v>
      </c>
      <c r="W9" s="9">
        <v>21</v>
      </c>
      <c r="X9" s="9">
        <f t="shared" si="0"/>
        <v>10</v>
      </c>
      <c r="Y9" s="10">
        <f t="shared" si="1"/>
        <v>0.47619047619047616</v>
      </c>
      <c r="Z9" s="7" t="s">
        <v>337</v>
      </c>
      <c r="AA9" s="7" t="s">
        <v>398</v>
      </c>
      <c r="AB9" t="s">
        <v>225</v>
      </c>
      <c r="AC9" t="s">
        <v>230</v>
      </c>
    </row>
    <row r="10" spans="1:29" ht="150" customHeight="1" x14ac:dyDescent="0.2">
      <c r="A10" s="7" t="s">
        <v>68</v>
      </c>
      <c r="B10" s="7" t="s">
        <v>69</v>
      </c>
      <c r="C10" s="7" t="s">
        <v>52</v>
      </c>
      <c r="D10" s="7" t="s">
        <v>70</v>
      </c>
      <c r="E10" s="7" t="s">
        <v>71</v>
      </c>
      <c r="F10" s="8" t="s">
        <v>72</v>
      </c>
      <c r="G10" s="8" t="s">
        <v>73</v>
      </c>
      <c r="H10" s="8" t="s">
        <v>74</v>
      </c>
      <c r="I10" s="9" t="s">
        <v>75</v>
      </c>
      <c r="J10" s="9" t="s">
        <v>41</v>
      </c>
      <c r="K10" s="9">
        <v>312</v>
      </c>
      <c r="L10" s="9">
        <v>29.247</v>
      </c>
      <c r="M10" s="9">
        <v>1901</v>
      </c>
      <c r="N10" s="9">
        <v>450</v>
      </c>
      <c r="O10" s="9">
        <v>0</v>
      </c>
      <c r="P10" s="9">
        <v>1</v>
      </c>
      <c r="Q10" s="9">
        <v>1</v>
      </c>
      <c r="R10" s="9">
        <v>1</v>
      </c>
      <c r="S10" s="9">
        <v>1</v>
      </c>
      <c r="T10" s="18">
        <v>2</v>
      </c>
      <c r="U10" s="11">
        <v>1</v>
      </c>
      <c r="V10" s="9">
        <v>1</v>
      </c>
      <c r="W10" s="9">
        <v>21</v>
      </c>
      <c r="X10" s="9">
        <f t="shared" si="0"/>
        <v>8</v>
      </c>
      <c r="Y10" s="10">
        <f t="shared" si="1"/>
        <v>0.38095238095238093</v>
      </c>
      <c r="Z10" s="7" t="s">
        <v>338</v>
      </c>
      <c r="AA10" s="7" t="s">
        <v>399</v>
      </c>
      <c r="AB10" t="s">
        <v>225</v>
      </c>
      <c r="AC10" t="s">
        <v>231</v>
      </c>
    </row>
    <row r="11" spans="1:29" ht="150" customHeight="1" x14ac:dyDescent="0.2">
      <c r="A11" s="7" t="s">
        <v>77</v>
      </c>
      <c r="B11" s="7" t="s">
        <v>69</v>
      </c>
      <c r="C11" s="7" t="s">
        <v>78</v>
      </c>
      <c r="D11" s="7" t="s">
        <v>79</v>
      </c>
      <c r="E11" s="7" t="s">
        <v>80</v>
      </c>
      <c r="F11" s="8" t="s">
        <v>81</v>
      </c>
      <c r="G11" s="8" t="s">
        <v>82</v>
      </c>
      <c r="H11" s="8" t="s">
        <v>65</v>
      </c>
      <c r="I11" s="9" t="s">
        <v>83</v>
      </c>
      <c r="J11" s="9" t="s">
        <v>41</v>
      </c>
      <c r="K11" s="9">
        <v>390</v>
      </c>
      <c r="L11" s="9">
        <v>33.082999999999998</v>
      </c>
      <c r="M11" s="9">
        <v>1856</v>
      </c>
      <c r="N11" s="9">
        <v>528</v>
      </c>
      <c r="O11" s="9">
        <v>0</v>
      </c>
      <c r="P11" s="9">
        <v>2</v>
      </c>
      <c r="Q11" s="9">
        <v>1</v>
      </c>
      <c r="R11" s="9">
        <v>0</v>
      </c>
      <c r="S11" s="9">
        <v>1</v>
      </c>
      <c r="T11" s="18">
        <v>1</v>
      </c>
      <c r="U11" s="9">
        <v>2</v>
      </c>
      <c r="V11" s="9">
        <v>1</v>
      </c>
      <c r="W11" s="9">
        <v>21</v>
      </c>
      <c r="X11" s="9">
        <f t="shared" si="0"/>
        <v>8</v>
      </c>
      <c r="Y11" s="10">
        <f t="shared" si="1"/>
        <v>0.38095238095238093</v>
      </c>
      <c r="Z11" s="7" t="s">
        <v>339</v>
      </c>
      <c r="AA11" s="7" t="s">
        <v>400</v>
      </c>
      <c r="AB11" t="s">
        <v>225</v>
      </c>
      <c r="AC11" t="s">
        <v>232</v>
      </c>
    </row>
    <row r="12" spans="1:29" ht="150" customHeight="1" x14ac:dyDescent="0.2">
      <c r="A12" s="7" t="s">
        <v>85</v>
      </c>
      <c r="B12" s="7" t="s">
        <v>69</v>
      </c>
      <c r="C12" s="7" t="s">
        <v>78</v>
      </c>
      <c r="D12" s="7" t="s">
        <v>86</v>
      </c>
      <c r="E12" s="7" t="s">
        <v>87</v>
      </c>
      <c r="F12" s="8" t="s">
        <v>88</v>
      </c>
      <c r="G12" s="8" t="s">
        <v>89</v>
      </c>
      <c r="H12" s="8" t="s">
        <v>90</v>
      </c>
      <c r="I12" s="9" t="s">
        <v>91</v>
      </c>
      <c r="J12" s="9" t="s">
        <v>41</v>
      </c>
      <c r="K12" s="9">
        <v>345</v>
      </c>
      <c r="L12" s="9">
        <v>32.78</v>
      </c>
      <c r="M12" s="9">
        <v>1937</v>
      </c>
      <c r="N12" s="9">
        <v>511</v>
      </c>
      <c r="O12" s="9">
        <v>0</v>
      </c>
      <c r="P12" s="9">
        <v>2</v>
      </c>
      <c r="Q12" s="9">
        <v>2</v>
      </c>
      <c r="R12" s="9">
        <v>2</v>
      </c>
      <c r="S12" s="9">
        <v>2</v>
      </c>
      <c r="T12" s="9">
        <v>2</v>
      </c>
      <c r="U12" s="11">
        <v>2</v>
      </c>
      <c r="V12" s="9">
        <v>2</v>
      </c>
      <c r="W12" s="9">
        <v>21</v>
      </c>
      <c r="X12" s="9">
        <f t="shared" si="0"/>
        <v>14</v>
      </c>
      <c r="Y12" s="10">
        <f t="shared" si="1"/>
        <v>0.66666666666666663</v>
      </c>
      <c r="Z12" s="7" t="s">
        <v>340</v>
      </c>
      <c r="AA12" s="7" t="s">
        <v>401</v>
      </c>
      <c r="AB12" t="s">
        <v>225</v>
      </c>
      <c r="AC12" t="s">
        <v>233</v>
      </c>
    </row>
    <row r="13" spans="1:29" ht="150" customHeight="1" x14ac:dyDescent="0.2">
      <c r="A13" s="7" t="s">
        <v>93</v>
      </c>
      <c r="B13" s="7" t="s">
        <v>69</v>
      </c>
      <c r="C13" s="7" t="s">
        <v>78</v>
      </c>
      <c r="D13" s="7" t="s">
        <v>94</v>
      </c>
      <c r="E13" s="7" t="s">
        <v>95</v>
      </c>
      <c r="F13" s="8" t="s">
        <v>96</v>
      </c>
      <c r="G13" s="8" t="s">
        <v>97</v>
      </c>
      <c r="H13" s="8" t="s">
        <v>98</v>
      </c>
      <c r="I13" s="9" t="s">
        <v>99</v>
      </c>
      <c r="J13" s="9" t="s">
        <v>41</v>
      </c>
      <c r="K13" s="9">
        <v>335</v>
      </c>
      <c r="L13" s="9">
        <v>28.434999999999999</v>
      </c>
      <c r="M13" s="9">
        <v>1517</v>
      </c>
      <c r="N13" s="9">
        <v>469</v>
      </c>
      <c r="O13" s="9">
        <v>0</v>
      </c>
      <c r="P13" s="9">
        <v>2</v>
      </c>
      <c r="Q13" s="9">
        <v>2</v>
      </c>
      <c r="R13" s="9">
        <v>2</v>
      </c>
      <c r="S13" s="9">
        <v>2</v>
      </c>
      <c r="T13" s="18">
        <v>3</v>
      </c>
      <c r="U13" s="9">
        <v>2</v>
      </c>
      <c r="V13" s="9">
        <v>2</v>
      </c>
      <c r="W13" s="9">
        <v>21</v>
      </c>
      <c r="X13" s="9">
        <f t="shared" si="0"/>
        <v>15</v>
      </c>
      <c r="Y13" s="10">
        <f t="shared" si="1"/>
        <v>0.7142857142857143</v>
      </c>
      <c r="Z13" s="7" t="s">
        <v>341</v>
      </c>
      <c r="AA13" s="7" t="s">
        <v>402</v>
      </c>
      <c r="AB13" t="s">
        <v>225</v>
      </c>
      <c r="AC13" t="s">
        <v>234</v>
      </c>
    </row>
    <row r="14" spans="1:29" ht="150" customHeight="1" x14ac:dyDescent="0.2">
      <c r="A14" s="7" t="s">
        <v>101</v>
      </c>
      <c r="B14" s="7" t="s">
        <v>102</v>
      </c>
      <c r="C14" s="7" t="s">
        <v>52</v>
      </c>
      <c r="D14" s="7" t="s">
        <v>44</v>
      </c>
      <c r="E14" s="7" t="s">
        <v>103</v>
      </c>
      <c r="F14" s="8" t="s">
        <v>104</v>
      </c>
      <c r="G14" s="8" t="s">
        <v>105</v>
      </c>
      <c r="H14" s="8" t="s">
        <v>489</v>
      </c>
      <c r="I14" s="9" t="s">
        <v>107</v>
      </c>
      <c r="J14" s="9" t="s">
        <v>41</v>
      </c>
      <c r="K14" s="9">
        <v>213</v>
      </c>
      <c r="L14" s="9">
        <v>24.114000000000001</v>
      </c>
      <c r="M14" s="9">
        <v>2082</v>
      </c>
      <c r="N14" s="9">
        <v>332</v>
      </c>
      <c r="O14" s="9">
        <v>0</v>
      </c>
      <c r="P14" s="9">
        <v>2</v>
      </c>
      <c r="Q14" s="9">
        <v>1</v>
      </c>
      <c r="R14" s="9">
        <v>1</v>
      </c>
      <c r="S14" s="9">
        <v>1</v>
      </c>
      <c r="T14" s="9">
        <v>2</v>
      </c>
      <c r="U14" s="9">
        <v>0</v>
      </c>
      <c r="V14" s="9">
        <v>1</v>
      </c>
      <c r="W14" s="9">
        <v>21</v>
      </c>
      <c r="X14" s="9">
        <f t="shared" si="0"/>
        <v>8</v>
      </c>
      <c r="Y14" s="10">
        <f t="shared" si="1"/>
        <v>0.38095238095238093</v>
      </c>
      <c r="Z14" s="7" t="s">
        <v>342</v>
      </c>
      <c r="AA14" s="7" t="s">
        <v>403</v>
      </c>
      <c r="AB14" t="s">
        <v>225</v>
      </c>
      <c r="AC14" t="s">
        <v>235</v>
      </c>
    </row>
    <row r="15" spans="1:29" ht="150" customHeight="1" x14ac:dyDescent="0.2">
      <c r="A15" s="7" t="s">
        <v>109</v>
      </c>
      <c r="B15" s="7" t="s">
        <v>102</v>
      </c>
      <c r="C15" s="7" t="s">
        <v>78</v>
      </c>
      <c r="D15" s="7" t="s">
        <v>110</v>
      </c>
      <c r="E15" s="7" t="s">
        <v>111</v>
      </c>
      <c r="F15" s="8" t="s">
        <v>112</v>
      </c>
      <c r="G15" s="8" t="s">
        <v>113</v>
      </c>
      <c r="H15" s="8" t="s">
        <v>114</v>
      </c>
      <c r="I15" s="9" t="s">
        <v>115</v>
      </c>
      <c r="J15" s="9" t="s">
        <v>41</v>
      </c>
      <c r="K15" s="9">
        <v>327</v>
      </c>
      <c r="L15" s="9">
        <v>30.396999999999998</v>
      </c>
      <c r="M15" s="9">
        <v>2307</v>
      </c>
      <c r="N15" s="9">
        <v>431</v>
      </c>
      <c r="O15" s="9">
        <v>0</v>
      </c>
      <c r="P15" s="9">
        <v>2</v>
      </c>
      <c r="Q15" s="9">
        <v>2</v>
      </c>
      <c r="R15" s="9">
        <v>0</v>
      </c>
      <c r="S15" s="9">
        <v>2</v>
      </c>
      <c r="T15" s="9">
        <v>0</v>
      </c>
      <c r="U15" s="9">
        <v>2</v>
      </c>
      <c r="V15" s="9">
        <v>1</v>
      </c>
      <c r="W15" s="9">
        <v>21</v>
      </c>
      <c r="X15" s="9">
        <f t="shared" si="0"/>
        <v>9</v>
      </c>
      <c r="Y15" s="10">
        <f t="shared" si="1"/>
        <v>0.42857142857142855</v>
      </c>
      <c r="Z15" s="7" t="s">
        <v>485</v>
      </c>
      <c r="AA15" s="7" t="s">
        <v>404</v>
      </c>
      <c r="AB15" t="s">
        <v>225</v>
      </c>
      <c r="AC15" t="s">
        <v>236</v>
      </c>
    </row>
    <row r="16" spans="1:29" ht="150" customHeight="1" x14ac:dyDescent="0.2">
      <c r="A16" s="7" t="s">
        <v>117</v>
      </c>
      <c r="B16" s="7" t="s">
        <v>102</v>
      </c>
      <c r="C16" s="7" t="s">
        <v>78</v>
      </c>
      <c r="D16" s="7" t="s">
        <v>118</v>
      </c>
      <c r="E16" s="7" t="s">
        <v>119</v>
      </c>
      <c r="F16" s="8" t="s">
        <v>120</v>
      </c>
      <c r="G16" s="8" t="s">
        <v>121</v>
      </c>
      <c r="H16" s="8" t="s">
        <v>122</v>
      </c>
      <c r="I16" s="9" t="s">
        <v>123</v>
      </c>
      <c r="J16" s="9" t="s">
        <v>41</v>
      </c>
      <c r="K16" s="9">
        <v>414</v>
      </c>
      <c r="L16" s="9">
        <v>38.859000000000002</v>
      </c>
      <c r="M16" s="9">
        <v>1983</v>
      </c>
      <c r="N16" s="9">
        <v>622</v>
      </c>
      <c r="O16" s="9">
        <v>0</v>
      </c>
      <c r="P16" s="9">
        <v>2</v>
      </c>
      <c r="Q16" s="9">
        <v>2</v>
      </c>
      <c r="R16" s="9">
        <v>2</v>
      </c>
      <c r="S16" s="9">
        <v>2</v>
      </c>
      <c r="T16" s="9">
        <v>2</v>
      </c>
      <c r="U16" s="9">
        <v>3</v>
      </c>
      <c r="V16" s="9">
        <v>2</v>
      </c>
      <c r="W16" s="9">
        <v>21</v>
      </c>
      <c r="X16" s="9">
        <f t="shared" si="0"/>
        <v>15</v>
      </c>
      <c r="Y16" s="10">
        <f t="shared" si="1"/>
        <v>0.7142857142857143</v>
      </c>
      <c r="Z16" s="7" t="s">
        <v>344</v>
      </c>
      <c r="AA16" s="7" t="s">
        <v>405</v>
      </c>
      <c r="AB16" t="s">
        <v>225</v>
      </c>
      <c r="AC16" t="s">
        <v>237</v>
      </c>
    </row>
    <row r="17" spans="1:29" ht="150" customHeight="1" x14ac:dyDescent="0.2">
      <c r="A17" s="7" t="s">
        <v>125</v>
      </c>
      <c r="B17" s="7" t="s">
        <v>102</v>
      </c>
      <c r="C17" s="7" t="s">
        <v>78</v>
      </c>
      <c r="D17" s="7" t="s">
        <v>126</v>
      </c>
      <c r="E17" s="7" t="s">
        <v>127</v>
      </c>
      <c r="F17" s="8" t="s">
        <v>128</v>
      </c>
      <c r="G17" s="8" t="s">
        <v>129</v>
      </c>
      <c r="H17" s="8" t="s">
        <v>130</v>
      </c>
      <c r="I17" s="9" t="s">
        <v>131</v>
      </c>
      <c r="J17" s="9" t="s">
        <v>41</v>
      </c>
      <c r="K17" s="9">
        <v>363</v>
      </c>
      <c r="L17" s="9">
        <v>34.475999999999999</v>
      </c>
      <c r="M17" s="9">
        <v>1936</v>
      </c>
      <c r="N17" s="9">
        <v>543</v>
      </c>
      <c r="O17" s="9">
        <v>0</v>
      </c>
      <c r="P17" s="9">
        <v>2</v>
      </c>
      <c r="Q17" s="9">
        <v>2</v>
      </c>
      <c r="R17" s="9">
        <v>2</v>
      </c>
      <c r="S17" s="9">
        <v>1</v>
      </c>
      <c r="T17" s="9">
        <v>2</v>
      </c>
      <c r="U17" s="9">
        <v>2</v>
      </c>
      <c r="V17" s="9">
        <v>1</v>
      </c>
      <c r="W17" s="9">
        <v>21</v>
      </c>
      <c r="X17" s="9">
        <f t="shared" si="0"/>
        <v>12</v>
      </c>
      <c r="Y17" s="10">
        <f t="shared" si="1"/>
        <v>0.5714285714285714</v>
      </c>
      <c r="Z17" s="7" t="s">
        <v>345</v>
      </c>
      <c r="AA17" s="7" t="s">
        <v>406</v>
      </c>
      <c r="AB17" t="s">
        <v>225</v>
      </c>
      <c r="AC17" t="s">
        <v>238</v>
      </c>
    </row>
    <row r="18" spans="1:29" ht="150" customHeight="1" x14ac:dyDescent="0.2">
      <c r="A18" s="7" t="s">
        <v>133</v>
      </c>
      <c r="B18" s="7" t="s">
        <v>134</v>
      </c>
      <c r="C18" s="7" t="s">
        <v>52</v>
      </c>
      <c r="D18" s="7" t="s">
        <v>44</v>
      </c>
      <c r="E18" s="7" t="s">
        <v>135</v>
      </c>
      <c r="F18" s="8" t="s">
        <v>136</v>
      </c>
      <c r="G18" s="8" t="s">
        <v>137</v>
      </c>
      <c r="H18" s="8" t="s">
        <v>138</v>
      </c>
      <c r="I18" s="9" t="s">
        <v>139</v>
      </c>
      <c r="J18" s="9" t="s">
        <v>41</v>
      </c>
      <c r="K18" s="9">
        <v>329</v>
      </c>
      <c r="L18" s="9">
        <v>29.969000000000001</v>
      </c>
      <c r="M18" s="9">
        <v>1991</v>
      </c>
      <c r="N18" s="9">
        <v>452</v>
      </c>
      <c r="O18" s="9">
        <v>0</v>
      </c>
      <c r="P18" s="9">
        <v>2</v>
      </c>
      <c r="Q18" s="11">
        <v>1</v>
      </c>
      <c r="R18" s="11">
        <v>1</v>
      </c>
      <c r="S18" s="9">
        <v>2</v>
      </c>
      <c r="T18" s="9">
        <v>2</v>
      </c>
      <c r="U18" s="9">
        <v>2</v>
      </c>
      <c r="V18" s="9">
        <v>1</v>
      </c>
      <c r="W18" s="9">
        <v>21</v>
      </c>
      <c r="X18" s="9">
        <f t="shared" si="0"/>
        <v>11</v>
      </c>
      <c r="Y18" s="10">
        <f t="shared" si="1"/>
        <v>0.52380952380952384</v>
      </c>
      <c r="Z18" s="7" t="s">
        <v>316</v>
      </c>
      <c r="AA18" s="7" t="s">
        <v>407</v>
      </c>
      <c r="AB18" t="s">
        <v>225</v>
      </c>
      <c r="AC18" t="s">
        <v>239</v>
      </c>
    </row>
    <row r="19" spans="1:29" ht="150" customHeight="1" x14ac:dyDescent="0.2">
      <c r="A19" s="7" t="s">
        <v>141</v>
      </c>
      <c r="B19" s="7" t="s">
        <v>134</v>
      </c>
      <c r="C19" s="7" t="s">
        <v>78</v>
      </c>
      <c r="D19" s="7" t="s">
        <v>142</v>
      </c>
      <c r="E19" s="7" t="s">
        <v>143</v>
      </c>
      <c r="F19" s="8" t="s">
        <v>144</v>
      </c>
      <c r="G19" s="8" t="s">
        <v>481</v>
      </c>
      <c r="H19" s="8" t="s">
        <v>482</v>
      </c>
      <c r="I19" s="9" t="s">
        <v>147</v>
      </c>
      <c r="J19" s="9" t="s">
        <v>41</v>
      </c>
      <c r="K19" s="9">
        <v>417</v>
      </c>
      <c r="L19" s="9">
        <v>37.265000000000001</v>
      </c>
      <c r="M19" s="9">
        <v>1924</v>
      </c>
      <c r="N19" s="9">
        <v>595</v>
      </c>
      <c r="O19" s="9">
        <v>0</v>
      </c>
      <c r="P19" s="9">
        <v>2</v>
      </c>
      <c r="Q19" s="9">
        <v>2</v>
      </c>
      <c r="R19" s="9">
        <v>2</v>
      </c>
      <c r="S19" s="11">
        <v>1</v>
      </c>
      <c r="T19" s="9">
        <v>2</v>
      </c>
      <c r="U19" s="9">
        <v>3</v>
      </c>
      <c r="V19" s="9">
        <v>2</v>
      </c>
      <c r="W19" s="9">
        <v>21</v>
      </c>
      <c r="X19" s="9">
        <f t="shared" si="0"/>
        <v>14</v>
      </c>
      <c r="Y19" s="10">
        <f t="shared" si="1"/>
        <v>0.66666666666666663</v>
      </c>
      <c r="Z19" s="7" t="s">
        <v>486</v>
      </c>
      <c r="AA19" s="7" t="s">
        <v>408</v>
      </c>
      <c r="AB19" t="s">
        <v>225</v>
      </c>
      <c r="AC19" t="s">
        <v>240</v>
      </c>
    </row>
    <row r="20" spans="1:29" ht="150" customHeight="1" x14ac:dyDescent="0.2">
      <c r="A20" s="7" t="s">
        <v>149</v>
      </c>
      <c r="B20" s="7" t="s">
        <v>134</v>
      </c>
      <c r="C20" s="7" t="s">
        <v>78</v>
      </c>
      <c r="D20" s="7" t="s">
        <v>150</v>
      </c>
      <c r="E20" s="7" t="s">
        <v>151</v>
      </c>
      <c r="F20" s="8" t="s">
        <v>152</v>
      </c>
      <c r="G20" s="8" t="s">
        <v>153</v>
      </c>
      <c r="H20" s="8" t="s">
        <v>154</v>
      </c>
      <c r="I20" s="9" t="s">
        <v>155</v>
      </c>
      <c r="J20" s="9" t="s">
        <v>41</v>
      </c>
      <c r="K20" s="9">
        <v>292</v>
      </c>
      <c r="L20" s="9">
        <v>26.184000000000001</v>
      </c>
      <c r="M20" s="9">
        <v>1796</v>
      </c>
      <c r="N20" s="9">
        <v>400</v>
      </c>
      <c r="O20" s="9">
        <v>0</v>
      </c>
      <c r="P20" s="9">
        <v>2</v>
      </c>
      <c r="Q20" s="9">
        <v>2</v>
      </c>
      <c r="R20" s="9">
        <v>2</v>
      </c>
      <c r="S20" s="9">
        <v>1</v>
      </c>
      <c r="T20" s="9">
        <v>2</v>
      </c>
      <c r="U20" s="9">
        <v>2</v>
      </c>
      <c r="V20" s="9">
        <v>1</v>
      </c>
      <c r="W20" s="9">
        <v>21</v>
      </c>
      <c r="X20" s="9">
        <f t="shared" si="0"/>
        <v>12</v>
      </c>
      <c r="Y20" s="10">
        <f t="shared" si="1"/>
        <v>0.5714285714285714</v>
      </c>
      <c r="Z20" s="7" t="s">
        <v>347</v>
      </c>
      <c r="AA20" s="7" t="s">
        <v>409</v>
      </c>
      <c r="AB20" t="s">
        <v>225</v>
      </c>
      <c r="AC20" t="s">
        <v>241</v>
      </c>
    </row>
    <row r="21" spans="1:29" ht="150" customHeight="1" x14ac:dyDescent="0.2">
      <c r="A21" s="7" t="s">
        <v>157</v>
      </c>
      <c r="B21" s="7" t="s">
        <v>134</v>
      </c>
      <c r="C21" s="7" t="s">
        <v>78</v>
      </c>
      <c r="D21" s="7" t="s">
        <v>158</v>
      </c>
      <c r="E21" s="7" t="s">
        <v>159</v>
      </c>
      <c r="F21" s="8"/>
      <c r="G21" s="8"/>
      <c r="H21" s="8" t="s">
        <v>483</v>
      </c>
      <c r="I21" s="9" t="s">
        <v>161</v>
      </c>
      <c r="J21" s="9" t="s">
        <v>41</v>
      </c>
      <c r="K21" s="9">
        <v>343</v>
      </c>
      <c r="L21" s="9">
        <v>31.03</v>
      </c>
      <c r="M21" s="9">
        <v>1870</v>
      </c>
      <c r="N21" s="9">
        <v>482</v>
      </c>
      <c r="O21" s="9">
        <v>0</v>
      </c>
      <c r="P21" s="9">
        <v>2</v>
      </c>
      <c r="Q21" s="9">
        <v>1</v>
      </c>
      <c r="R21" s="9">
        <v>2</v>
      </c>
      <c r="S21" s="9">
        <v>1</v>
      </c>
      <c r="T21" s="9">
        <v>2</v>
      </c>
      <c r="U21" s="9">
        <v>1</v>
      </c>
      <c r="V21" s="9">
        <v>1</v>
      </c>
      <c r="W21" s="9">
        <v>21</v>
      </c>
      <c r="X21" s="9">
        <f t="shared" si="0"/>
        <v>10</v>
      </c>
      <c r="Y21" s="10">
        <f t="shared" si="1"/>
        <v>0.47619047619047616</v>
      </c>
      <c r="Z21" s="7" t="s">
        <v>348</v>
      </c>
      <c r="AA21" s="7" t="s">
        <v>410</v>
      </c>
      <c r="AB21" t="s">
        <v>225</v>
      </c>
      <c r="AC21" t="s">
        <v>242</v>
      </c>
    </row>
    <row r="22" spans="1:29" ht="150" customHeight="1" x14ac:dyDescent="0.2">
      <c r="A22" s="7" t="s">
        <v>163</v>
      </c>
      <c r="B22" s="7" t="s">
        <v>164</v>
      </c>
      <c r="C22" s="7" t="s">
        <v>52</v>
      </c>
      <c r="D22" s="7" t="s">
        <v>165</v>
      </c>
      <c r="E22" s="7" t="s">
        <v>166</v>
      </c>
      <c r="F22" s="8"/>
      <c r="G22" s="8" t="s">
        <v>474</v>
      </c>
      <c r="H22" s="8" t="s">
        <v>473</v>
      </c>
      <c r="I22" s="9" t="s">
        <v>169</v>
      </c>
      <c r="J22" s="9" t="s">
        <v>41</v>
      </c>
      <c r="K22" s="9">
        <v>226</v>
      </c>
      <c r="L22" s="9">
        <v>25.507000000000001</v>
      </c>
      <c r="M22" s="9">
        <v>2343</v>
      </c>
      <c r="N22" s="9">
        <v>335</v>
      </c>
      <c r="O22" s="9">
        <v>0</v>
      </c>
      <c r="P22" s="9">
        <v>2</v>
      </c>
      <c r="Q22" s="9">
        <v>2</v>
      </c>
      <c r="R22" s="11">
        <v>1</v>
      </c>
      <c r="S22" s="12" t="s">
        <v>170</v>
      </c>
      <c r="T22" s="12" t="s">
        <v>170</v>
      </c>
      <c r="U22" s="9">
        <v>2</v>
      </c>
      <c r="V22" s="9">
        <v>1</v>
      </c>
      <c r="W22" s="9">
        <v>15</v>
      </c>
      <c r="X22" s="9">
        <f t="shared" si="0"/>
        <v>8</v>
      </c>
      <c r="Y22" s="10">
        <f>IF(X22="","",X22/15)</f>
        <v>0.53333333333333333</v>
      </c>
      <c r="Z22" s="7" t="s">
        <v>349</v>
      </c>
      <c r="AA22" s="7" t="s">
        <v>411</v>
      </c>
      <c r="AB22" t="s">
        <v>225</v>
      </c>
      <c r="AC22" t="s">
        <v>243</v>
      </c>
    </row>
    <row r="23" spans="1:29" ht="150" customHeight="1" x14ac:dyDescent="0.2">
      <c r="A23" s="7" t="s">
        <v>172</v>
      </c>
      <c r="B23" s="7" t="s">
        <v>164</v>
      </c>
      <c r="C23" s="7" t="s">
        <v>78</v>
      </c>
      <c r="D23" s="7" t="s">
        <v>173</v>
      </c>
      <c r="E23" s="7" t="s">
        <v>174</v>
      </c>
      <c r="F23" s="8"/>
      <c r="G23" s="8" t="s">
        <v>488</v>
      </c>
      <c r="H23" s="8" t="s">
        <v>484</v>
      </c>
      <c r="I23" s="9" t="s">
        <v>177</v>
      </c>
      <c r="J23" s="9" t="s">
        <v>41</v>
      </c>
      <c r="K23" s="9">
        <v>309</v>
      </c>
      <c r="L23" s="9">
        <v>27.515999999999998</v>
      </c>
      <c r="M23" s="9">
        <v>2025</v>
      </c>
      <c r="N23" s="9">
        <v>402</v>
      </c>
      <c r="O23" s="9">
        <v>0</v>
      </c>
      <c r="P23" s="16">
        <v>2</v>
      </c>
      <c r="Q23" s="9">
        <v>3</v>
      </c>
      <c r="R23" s="9">
        <v>2</v>
      </c>
      <c r="S23" s="12" t="s">
        <v>170</v>
      </c>
      <c r="T23" s="12" t="s">
        <v>170</v>
      </c>
      <c r="U23" s="9">
        <v>3</v>
      </c>
      <c r="V23" s="9">
        <v>2</v>
      </c>
      <c r="W23" s="9">
        <v>15</v>
      </c>
      <c r="X23" s="9">
        <f t="shared" si="0"/>
        <v>12</v>
      </c>
      <c r="Y23" s="10">
        <f>IF(X23="","",X23/15)</f>
        <v>0.8</v>
      </c>
      <c r="Z23" s="7" t="s">
        <v>350</v>
      </c>
      <c r="AA23" s="7" t="s">
        <v>412</v>
      </c>
      <c r="AB23" t="s">
        <v>225</v>
      </c>
      <c r="AC23" t="s">
        <v>244</v>
      </c>
    </row>
    <row r="24" spans="1:29" ht="150" customHeight="1" x14ac:dyDescent="0.2">
      <c r="A24" s="7" t="s">
        <v>179</v>
      </c>
      <c r="B24" s="7" t="s">
        <v>164</v>
      </c>
      <c r="C24" s="7" t="s">
        <v>34</v>
      </c>
      <c r="D24" s="7" t="s">
        <v>180</v>
      </c>
      <c r="E24" s="7" t="s">
        <v>181</v>
      </c>
      <c r="F24" s="8"/>
      <c r="G24" s="8" t="s">
        <v>477</v>
      </c>
      <c r="H24" s="8" t="s">
        <v>478</v>
      </c>
      <c r="I24" s="9" t="s">
        <v>184</v>
      </c>
      <c r="J24" s="9" t="s">
        <v>41</v>
      </c>
      <c r="K24" s="9">
        <v>333</v>
      </c>
      <c r="L24" s="9">
        <v>30.353999999999999</v>
      </c>
      <c r="M24" s="9">
        <v>2216</v>
      </c>
      <c r="N24" s="9">
        <v>439</v>
      </c>
      <c r="O24" s="9">
        <v>0</v>
      </c>
      <c r="P24" s="9">
        <v>1</v>
      </c>
      <c r="Q24" s="9">
        <v>2</v>
      </c>
      <c r="R24" s="9">
        <v>2</v>
      </c>
      <c r="S24" s="12" t="s">
        <v>170</v>
      </c>
      <c r="T24" s="12" t="s">
        <v>170</v>
      </c>
      <c r="U24" s="9">
        <v>2</v>
      </c>
      <c r="V24" s="9">
        <v>0</v>
      </c>
      <c r="W24" s="9">
        <v>15</v>
      </c>
      <c r="X24" s="9">
        <f t="shared" si="0"/>
        <v>7</v>
      </c>
      <c r="Y24" s="10">
        <f>IF(X24="","",X24/15)</f>
        <v>0.46666666666666667</v>
      </c>
      <c r="Z24" s="7" t="s">
        <v>351</v>
      </c>
      <c r="AA24" s="7" t="s">
        <v>413</v>
      </c>
      <c r="AB24" t="s">
        <v>225</v>
      </c>
      <c r="AC24" t="s">
        <v>245</v>
      </c>
    </row>
    <row r="25" spans="1:29" ht="150" customHeight="1" x14ac:dyDescent="0.2">
      <c r="A25" s="7" t="s">
        <v>186</v>
      </c>
      <c r="B25" s="7" t="s">
        <v>187</v>
      </c>
      <c r="C25" s="7" t="s">
        <v>78</v>
      </c>
      <c r="D25" s="7" t="s">
        <v>188</v>
      </c>
      <c r="E25" s="7" t="s">
        <v>189</v>
      </c>
      <c r="F25" s="8"/>
      <c r="G25" s="8" t="s">
        <v>487</v>
      </c>
      <c r="H25" s="8" t="s">
        <v>479</v>
      </c>
      <c r="I25" s="9" t="s">
        <v>192</v>
      </c>
      <c r="J25" s="11" t="s">
        <v>246</v>
      </c>
      <c r="K25" s="9">
        <v>153</v>
      </c>
      <c r="L25" s="9">
        <v>21.102</v>
      </c>
      <c r="M25" s="9">
        <v>2659</v>
      </c>
      <c r="N25" s="9">
        <v>226</v>
      </c>
      <c r="O25" s="9">
        <v>0</v>
      </c>
      <c r="P25" s="9">
        <v>2</v>
      </c>
      <c r="Q25" s="9">
        <v>0</v>
      </c>
      <c r="R25" s="9">
        <v>0</v>
      </c>
      <c r="S25" s="12" t="s">
        <v>170</v>
      </c>
      <c r="T25" s="12" t="s">
        <v>170</v>
      </c>
      <c r="U25" s="9">
        <v>2</v>
      </c>
      <c r="V25" s="9">
        <v>0</v>
      </c>
      <c r="W25" s="9">
        <v>15</v>
      </c>
      <c r="X25" s="9">
        <f t="shared" si="0"/>
        <v>4</v>
      </c>
      <c r="Y25" s="10">
        <f>IF(X25="","",X25/15)</f>
        <v>0.26666666666666666</v>
      </c>
      <c r="Z25" s="7" t="s">
        <v>352</v>
      </c>
      <c r="AA25" s="7" t="s">
        <v>414</v>
      </c>
      <c r="AB25" t="s">
        <v>225</v>
      </c>
      <c r="AC25" t="s">
        <v>247</v>
      </c>
    </row>
    <row r="27" spans="1:29" x14ac:dyDescent="0.2">
      <c r="C27" s="20" t="s">
        <v>194</v>
      </c>
      <c r="E27" s="6" t="s">
        <v>195</v>
      </c>
      <c r="X27" s="25">
        <f>IFERROR(AVERAGE(X6:X21),"")</f>
        <v>11</v>
      </c>
      <c r="Y27" s="25"/>
    </row>
    <row r="28" spans="1:29" x14ac:dyDescent="0.2">
      <c r="C28" s="20" t="s">
        <v>196</v>
      </c>
      <c r="E28" s="6" t="s">
        <v>197</v>
      </c>
      <c r="X28" s="25">
        <f>IFERROR(AVERAGE(X22:X25),"")</f>
        <v>7.75</v>
      </c>
      <c r="Y28" s="25"/>
    </row>
    <row r="29" spans="1:29" x14ac:dyDescent="0.2">
      <c r="C29" s="20" t="s">
        <v>198</v>
      </c>
      <c r="E29" s="6" t="s">
        <v>198</v>
      </c>
      <c r="X29" s="25"/>
      <c r="Y29" s="26">
        <f>IFERROR(AVERAGE(Y6:Y25),"")</f>
        <v>0.5223809523809525</v>
      </c>
    </row>
  </sheetData>
  <mergeCells count="3">
    <mergeCell ref="F4:H4"/>
    <mergeCell ref="I4:O4"/>
    <mergeCell ref="P4:Y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9"/>
  <sheetViews>
    <sheetView workbookViewId="0">
      <pane xSplit="5" ySplit="5" topLeftCell="Z20" activePane="bottomRight" state="frozen"/>
      <selection pane="topRight"/>
      <selection pane="bottomLeft"/>
      <selection pane="bottomRight"/>
    </sheetView>
  </sheetViews>
  <sheetFormatPr baseColWidth="10" defaultColWidth="8.83203125" defaultRowHeight="15" x14ac:dyDescent="0.2"/>
  <cols>
    <col min="1" max="1" width="7" customWidth="1"/>
    <col min="2" max="2" width="22" customWidth="1"/>
    <col min="3" max="3" width="10" customWidth="1"/>
    <col min="4" max="4" width="18" customWidth="1"/>
    <col min="5" max="5" width="42" customWidth="1"/>
    <col min="6" max="6" width="28" customWidth="1"/>
    <col min="7" max="7" width="44" customWidth="1"/>
    <col min="8" max="8" width="40" customWidth="1"/>
    <col min="9" max="9" width="34" customWidth="1"/>
    <col min="10" max="10" width="20" customWidth="1"/>
    <col min="11" max="11" width="7" customWidth="1"/>
    <col min="12" max="12" width="8" customWidth="1"/>
    <col min="13" max="14" width="9" customWidth="1"/>
    <col min="15" max="15" width="8" customWidth="1"/>
    <col min="16" max="22" width="4" customWidth="1"/>
    <col min="23" max="25" width="7" customWidth="1"/>
    <col min="26" max="26" width="76" customWidth="1"/>
    <col min="27" max="27" width="92" customWidth="1"/>
    <col min="28" max="28" width="13" customWidth="1"/>
    <col min="29" max="29" width="26" customWidth="1"/>
  </cols>
  <sheetData>
    <row r="1" spans="1:29" ht="19" customHeight="1" x14ac:dyDescent="0.25">
      <c r="A1" s="1" t="s">
        <v>204</v>
      </c>
    </row>
    <row r="2" spans="1:29" x14ac:dyDescent="0.2">
      <c r="A2" s="2"/>
    </row>
    <row r="4" spans="1:29" x14ac:dyDescent="0.2">
      <c r="F4" s="28" t="s">
        <v>0</v>
      </c>
      <c r="G4" s="29"/>
      <c r="H4" s="29"/>
      <c r="I4" s="30" t="s">
        <v>1</v>
      </c>
      <c r="J4" s="29"/>
      <c r="K4" s="29"/>
      <c r="L4" s="29"/>
      <c r="M4" s="29"/>
      <c r="N4" s="29"/>
      <c r="O4" s="29"/>
      <c r="P4" s="30" t="s">
        <v>2</v>
      </c>
      <c r="Q4" s="29"/>
      <c r="R4" s="29"/>
      <c r="S4" s="29"/>
      <c r="T4" s="29"/>
      <c r="U4" s="29"/>
      <c r="V4" s="29"/>
      <c r="W4" s="29"/>
      <c r="X4" s="29"/>
      <c r="Y4" s="29"/>
    </row>
    <row r="5" spans="1:29" ht="42" customHeight="1" x14ac:dyDescent="0.2">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c r="U5" s="3" t="s">
        <v>23</v>
      </c>
      <c r="V5" s="3" t="s">
        <v>24</v>
      </c>
      <c r="W5" s="3" t="s">
        <v>25</v>
      </c>
      <c r="X5" s="3" t="s">
        <v>26</v>
      </c>
      <c r="Y5" s="3" t="s">
        <v>27</v>
      </c>
      <c r="Z5" s="3" t="s">
        <v>28</v>
      </c>
      <c r="AA5" s="3" t="s">
        <v>29</v>
      </c>
      <c r="AB5" s="20" t="s">
        <v>30</v>
      </c>
      <c r="AC5" s="20" t="s">
        <v>31</v>
      </c>
    </row>
    <row r="6" spans="1:29" ht="150" customHeight="1" x14ac:dyDescent="0.2">
      <c r="A6" s="7" t="s">
        <v>32</v>
      </c>
      <c r="B6" s="7" t="s">
        <v>33</v>
      </c>
      <c r="C6" s="7" t="s">
        <v>34</v>
      </c>
      <c r="D6" s="7" t="s">
        <v>35</v>
      </c>
      <c r="E6" s="7" t="s">
        <v>36</v>
      </c>
      <c r="F6" s="8" t="s">
        <v>37</v>
      </c>
      <c r="G6" s="8" t="s">
        <v>38</v>
      </c>
      <c r="H6" s="8" t="s">
        <v>490</v>
      </c>
      <c r="I6" s="9" t="s">
        <v>40</v>
      </c>
      <c r="J6" s="9" t="s">
        <v>41</v>
      </c>
      <c r="K6" s="9">
        <v>164</v>
      </c>
      <c r="L6" s="9">
        <v>2.282</v>
      </c>
      <c r="M6" s="9">
        <v>1849</v>
      </c>
      <c r="N6" s="9">
        <v>274</v>
      </c>
      <c r="O6" s="9">
        <v>5.8900000000000003E-3</v>
      </c>
      <c r="P6" s="13">
        <v>2</v>
      </c>
      <c r="Q6" s="13">
        <v>1</v>
      </c>
      <c r="R6" s="13">
        <v>2</v>
      </c>
      <c r="S6" s="13">
        <v>2</v>
      </c>
      <c r="T6" s="18">
        <v>3</v>
      </c>
      <c r="U6" s="13">
        <v>2</v>
      </c>
      <c r="V6" s="13">
        <v>2</v>
      </c>
      <c r="W6" s="9">
        <v>21</v>
      </c>
      <c r="X6" s="9">
        <f t="shared" ref="X6:X25" si="0">IF(COUNT(P6:V6)=0,"",SUM(P6:V6))</f>
        <v>14</v>
      </c>
      <c r="Y6" s="10">
        <f t="shared" ref="Y6:Y21" si="1">IF(X6="","",X6/21)</f>
        <v>0.66666666666666663</v>
      </c>
      <c r="Z6" s="7" t="s">
        <v>353</v>
      </c>
      <c r="AA6" s="7" t="s">
        <v>415</v>
      </c>
      <c r="AB6">
        <v>2123</v>
      </c>
      <c r="AC6" t="s">
        <v>42</v>
      </c>
    </row>
    <row r="7" spans="1:29" ht="150" customHeight="1" x14ac:dyDescent="0.2">
      <c r="A7" s="7" t="s">
        <v>43</v>
      </c>
      <c r="B7" s="7" t="s">
        <v>33</v>
      </c>
      <c r="C7" s="7" t="s">
        <v>34</v>
      </c>
      <c r="D7" s="7" t="s">
        <v>44</v>
      </c>
      <c r="E7" s="7" t="s">
        <v>45</v>
      </c>
      <c r="F7" s="8" t="s">
        <v>46</v>
      </c>
      <c r="G7" s="8" t="s">
        <v>47</v>
      </c>
      <c r="H7" s="8" t="s">
        <v>48</v>
      </c>
      <c r="I7" s="9" t="s">
        <v>49</v>
      </c>
      <c r="J7" s="9" t="s">
        <v>41</v>
      </c>
      <c r="K7" s="9">
        <v>179</v>
      </c>
      <c r="L7" s="9">
        <v>1.861</v>
      </c>
      <c r="M7" s="9">
        <v>1937</v>
      </c>
      <c r="N7" s="9">
        <v>267</v>
      </c>
      <c r="O7" s="9">
        <v>6.0099999999999997E-3</v>
      </c>
      <c r="P7" s="13">
        <v>2</v>
      </c>
      <c r="Q7" s="13">
        <v>2</v>
      </c>
      <c r="R7" s="13">
        <v>2</v>
      </c>
      <c r="S7" s="13">
        <v>2</v>
      </c>
      <c r="T7" s="13">
        <v>2</v>
      </c>
      <c r="U7" s="13">
        <v>2</v>
      </c>
      <c r="V7" s="13">
        <v>2</v>
      </c>
      <c r="W7" s="9">
        <v>21</v>
      </c>
      <c r="X7" s="9">
        <f t="shared" si="0"/>
        <v>14</v>
      </c>
      <c r="Y7" s="10">
        <f t="shared" si="1"/>
        <v>0.66666666666666663</v>
      </c>
      <c r="Z7" s="7" t="s">
        <v>317</v>
      </c>
      <c r="AA7" s="7" t="s">
        <v>416</v>
      </c>
      <c r="AB7">
        <v>2204</v>
      </c>
      <c r="AC7" t="s">
        <v>50</v>
      </c>
    </row>
    <row r="8" spans="1:29" ht="150" customHeight="1" x14ac:dyDescent="0.2">
      <c r="A8" s="7" t="s">
        <v>51</v>
      </c>
      <c r="B8" s="7" t="s">
        <v>33</v>
      </c>
      <c r="C8" s="7" t="s">
        <v>52</v>
      </c>
      <c r="D8" s="7" t="s">
        <v>53</v>
      </c>
      <c r="E8" s="7" t="s">
        <v>54</v>
      </c>
      <c r="F8" s="8" t="s">
        <v>55</v>
      </c>
      <c r="G8" s="8" t="s">
        <v>56</v>
      </c>
      <c r="H8" s="8" t="s">
        <v>57</v>
      </c>
      <c r="I8" s="9" t="s">
        <v>58</v>
      </c>
      <c r="J8" s="9" t="s">
        <v>41</v>
      </c>
      <c r="K8" s="9">
        <v>166</v>
      </c>
      <c r="L8" s="9">
        <v>2.0979999999999999</v>
      </c>
      <c r="M8" s="9">
        <v>2471</v>
      </c>
      <c r="N8" s="9">
        <v>266</v>
      </c>
      <c r="O8" s="9">
        <v>7.0699999999999999E-3</v>
      </c>
      <c r="P8" s="13">
        <v>2</v>
      </c>
      <c r="Q8" s="13">
        <v>2</v>
      </c>
      <c r="R8" s="16">
        <v>1</v>
      </c>
      <c r="S8" s="13">
        <v>2</v>
      </c>
      <c r="T8" s="13">
        <v>2</v>
      </c>
      <c r="U8" s="16">
        <v>1</v>
      </c>
      <c r="V8" s="13">
        <v>2</v>
      </c>
      <c r="W8" s="9">
        <v>21</v>
      </c>
      <c r="X8" s="9">
        <f t="shared" si="0"/>
        <v>12</v>
      </c>
      <c r="Y8" s="10">
        <f t="shared" si="1"/>
        <v>0.5714285714285714</v>
      </c>
      <c r="Z8" s="7" t="s">
        <v>354</v>
      </c>
      <c r="AA8" s="7" t="s">
        <v>417</v>
      </c>
      <c r="AB8">
        <v>2737</v>
      </c>
      <c r="AC8" t="s">
        <v>59</v>
      </c>
    </row>
    <row r="9" spans="1:29" ht="150" customHeight="1" x14ac:dyDescent="0.2">
      <c r="A9" s="7" t="s">
        <v>60</v>
      </c>
      <c r="B9" s="7" t="s">
        <v>33</v>
      </c>
      <c r="C9" s="7" t="s">
        <v>52</v>
      </c>
      <c r="D9" s="7" t="s">
        <v>61</v>
      </c>
      <c r="E9" s="7" t="s">
        <v>62</v>
      </c>
      <c r="F9" s="8" t="s">
        <v>63</v>
      </c>
      <c r="G9" s="8" t="s">
        <v>64</v>
      </c>
      <c r="H9" s="8" t="s">
        <v>65</v>
      </c>
      <c r="I9" s="9" t="s">
        <v>66</v>
      </c>
      <c r="J9" s="9" t="s">
        <v>41</v>
      </c>
      <c r="K9" s="9">
        <v>174</v>
      </c>
      <c r="L9" s="9">
        <v>2.0920000000000001</v>
      </c>
      <c r="M9" s="9">
        <v>2054</v>
      </c>
      <c r="N9" s="9">
        <v>269</v>
      </c>
      <c r="O9" s="9">
        <v>6.2599999999999999E-3</v>
      </c>
      <c r="P9" s="13">
        <v>2</v>
      </c>
      <c r="Q9" s="13">
        <v>2</v>
      </c>
      <c r="R9" s="16">
        <v>1</v>
      </c>
      <c r="S9" s="13">
        <v>2</v>
      </c>
      <c r="T9" s="18">
        <v>3</v>
      </c>
      <c r="U9" s="13">
        <v>2</v>
      </c>
      <c r="V9" s="13">
        <v>2</v>
      </c>
      <c r="W9" s="9">
        <v>21</v>
      </c>
      <c r="X9" s="9">
        <f t="shared" si="0"/>
        <v>14</v>
      </c>
      <c r="Y9" s="10">
        <f t="shared" si="1"/>
        <v>0.66666666666666663</v>
      </c>
      <c r="Z9" s="7" t="s">
        <v>355</v>
      </c>
      <c r="AA9" s="7" t="s">
        <v>418</v>
      </c>
      <c r="AB9">
        <v>2323</v>
      </c>
      <c r="AC9" t="s">
        <v>67</v>
      </c>
    </row>
    <row r="10" spans="1:29" ht="150" customHeight="1" x14ac:dyDescent="0.2">
      <c r="A10" s="7" t="s">
        <v>68</v>
      </c>
      <c r="B10" s="7" t="s">
        <v>69</v>
      </c>
      <c r="C10" s="7" t="s">
        <v>52</v>
      </c>
      <c r="D10" s="7" t="s">
        <v>70</v>
      </c>
      <c r="E10" s="7" t="s">
        <v>71</v>
      </c>
      <c r="F10" s="8" t="s">
        <v>72</v>
      </c>
      <c r="G10" s="8" t="s">
        <v>73</v>
      </c>
      <c r="H10" s="8" t="s">
        <v>74</v>
      </c>
      <c r="I10" s="9" t="s">
        <v>75</v>
      </c>
      <c r="J10" s="9" t="s">
        <v>41</v>
      </c>
      <c r="K10" s="9">
        <v>168</v>
      </c>
      <c r="L10" s="9">
        <v>1.903</v>
      </c>
      <c r="M10" s="9">
        <v>1877</v>
      </c>
      <c r="N10" s="9">
        <v>238</v>
      </c>
      <c r="O10" s="9">
        <v>5.6600000000000001E-3</v>
      </c>
      <c r="P10" s="13">
        <v>2</v>
      </c>
      <c r="Q10" s="13">
        <v>2</v>
      </c>
      <c r="R10" s="13">
        <v>2</v>
      </c>
      <c r="S10" s="16">
        <v>2</v>
      </c>
      <c r="T10" s="13">
        <v>2</v>
      </c>
      <c r="U10" s="16">
        <v>1</v>
      </c>
      <c r="V10" s="13">
        <v>1</v>
      </c>
      <c r="W10" s="9">
        <v>21</v>
      </c>
      <c r="X10" s="9">
        <f t="shared" si="0"/>
        <v>12</v>
      </c>
      <c r="Y10" s="10">
        <f t="shared" si="1"/>
        <v>0.5714285714285714</v>
      </c>
      <c r="Z10" s="7" t="s">
        <v>356</v>
      </c>
      <c r="AA10" s="7" t="s">
        <v>419</v>
      </c>
      <c r="AB10">
        <v>2115</v>
      </c>
      <c r="AC10" t="s">
        <v>76</v>
      </c>
    </row>
    <row r="11" spans="1:29" ht="150" customHeight="1" x14ac:dyDescent="0.2">
      <c r="A11" s="7" t="s">
        <v>77</v>
      </c>
      <c r="B11" s="7" t="s">
        <v>69</v>
      </c>
      <c r="C11" s="7" t="s">
        <v>78</v>
      </c>
      <c r="D11" s="7" t="s">
        <v>79</v>
      </c>
      <c r="E11" s="7" t="s">
        <v>80</v>
      </c>
      <c r="F11" s="8" t="s">
        <v>81</v>
      </c>
      <c r="G11" s="8" t="s">
        <v>82</v>
      </c>
      <c r="H11" s="8" t="s">
        <v>65</v>
      </c>
      <c r="I11" s="9" t="s">
        <v>83</v>
      </c>
      <c r="J11" s="9" t="s">
        <v>41</v>
      </c>
      <c r="K11" s="9">
        <v>195</v>
      </c>
      <c r="L11" s="9">
        <v>2.0699999999999998</v>
      </c>
      <c r="M11" s="9">
        <v>1821</v>
      </c>
      <c r="N11" s="9">
        <v>293</v>
      </c>
      <c r="O11" s="9">
        <v>5.9899999999999997E-3</v>
      </c>
      <c r="P11" s="13">
        <v>2</v>
      </c>
      <c r="Q11" s="13">
        <v>2</v>
      </c>
      <c r="R11" s="13">
        <v>2</v>
      </c>
      <c r="S11" s="13">
        <v>2</v>
      </c>
      <c r="T11" s="18">
        <v>3</v>
      </c>
      <c r="U11" s="13">
        <v>2</v>
      </c>
      <c r="V11" s="13">
        <v>2</v>
      </c>
      <c r="W11" s="9">
        <v>21</v>
      </c>
      <c r="X11" s="9">
        <f t="shared" si="0"/>
        <v>15</v>
      </c>
      <c r="Y11" s="10">
        <f t="shared" si="1"/>
        <v>0.7142857142857143</v>
      </c>
      <c r="Z11" s="7" t="s">
        <v>357</v>
      </c>
      <c r="AA11" s="7" t="s">
        <v>420</v>
      </c>
      <c r="AB11">
        <v>2114</v>
      </c>
      <c r="AC11" t="s">
        <v>84</v>
      </c>
    </row>
    <row r="12" spans="1:29" ht="150" customHeight="1" x14ac:dyDescent="0.2">
      <c r="A12" s="7" t="s">
        <v>85</v>
      </c>
      <c r="B12" s="7" t="s">
        <v>69</v>
      </c>
      <c r="C12" s="7" t="s">
        <v>78</v>
      </c>
      <c r="D12" s="7" t="s">
        <v>86</v>
      </c>
      <c r="E12" s="7" t="s">
        <v>87</v>
      </c>
      <c r="F12" s="8" t="s">
        <v>88</v>
      </c>
      <c r="G12" s="8" t="s">
        <v>89</v>
      </c>
      <c r="H12" s="8" t="s">
        <v>90</v>
      </c>
      <c r="I12" s="9" t="s">
        <v>91</v>
      </c>
      <c r="J12" s="9" t="s">
        <v>41</v>
      </c>
      <c r="K12" s="9">
        <v>188</v>
      </c>
      <c r="L12" s="9">
        <v>2.024</v>
      </c>
      <c r="M12" s="9">
        <v>1901</v>
      </c>
      <c r="N12" s="9">
        <v>313</v>
      </c>
      <c r="O12" s="9">
        <v>6.3099999999999996E-3</v>
      </c>
      <c r="P12" s="13">
        <v>2</v>
      </c>
      <c r="Q12" s="13">
        <v>2</v>
      </c>
      <c r="R12" s="13">
        <v>2</v>
      </c>
      <c r="S12" s="13">
        <v>2</v>
      </c>
      <c r="T12" s="18">
        <v>3</v>
      </c>
      <c r="U12" s="13">
        <v>2</v>
      </c>
      <c r="V12" s="13">
        <v>2</v>
      </c>
      <c r="W12" s="9">
        <v>21</v>
      </c>
      <c r="X12" s="9">
        <f t="shared" si="0"/>
        <v>15</v>
      </c>
      <c r="Y12" s="10">
        <f t="shared" si="1"/>
        <v>0.7142857142857143</v>
      </c>
      <c r="Z12" s="7" t="s">
        <v>358</v>
      </c>
      <c r="AA12" s="7" t="s">
        <v>421</v>
      </c>
      <c r="AB12">
        <v>2214</v>
      </c>
      <c r="AC12" t="s">
        <v>92</v>
      </c>
    </row>
    <row r="13" spans="1:29" ht="150" customHeight="1" x14ac:dyDescent="0.2">
      <c r="A13" s="7" t="s">
        <v>93</v>
      </c>
      <c r="B13" s="7" t="s">
        <v>69</v>
      </c>
      <c r="C13" s="7" t="s">
        <v>78</v>
      </c>
      <c r="D13" s="7" t="s">
        <v>94</v>
      </c>
      <c r="E13" s="7" t="s">
        <v>95</v>
      </c>
      <c r="F13" s="8" t="s">
        <v>96</v>
      </c>
      <c r="G13" s="8" t="s">
        <v>97</v>
      </c>
      <c r="H13" s="8" t="s">
        <v>98</v>
      </c>
      <c r="I13" s="9" t="s">
        <v>99</v>
      </c>
      <c r="J13" s="9" t="s">
        <v>41</v>
      </c>
      <c r="K13" s="9">
        <v>174</v>
      </c>
      <c r="L13" s="9">
        <v>2.4249999999999998</v>
      </c>
      <c r="M13" s="9">
        <v>1496</v>
      </c>
      <c r="N13" s="9">
        <v>303</v>
      </c>
      <c r="O13" s="9">
        <v>5.4200000000000003E-3</v>
      </c>
      <c r="P13" s="13">
        <v>2</v>
      </c>
      <c r="Q13" s="13">
        <v>2</v>
      </c>
      <c r="R13" s="13">
        <v>2</v>
      </c>
      <c r="S13" s="13">
        <v>2</v>
      </c>
      <c r="T13" s="18">
        <v>3</v>
      </c>
      <c r="U13" s="13">
        <v>3</v>
      </c>
      <c r="V13" s="13">
        <v>2</v>
      </c>
      <c r="W13" s="9">
        <v>21</v>
      </c>
      <c r="X13" s="9">
        <f t="shared" si="0"/>
        <v>16</v>
      </c>
      <c r="Y13" s="10">
        <f t="shared" si="1"/>
        <v>0.76190476190476186</v>
      </c>
      <c r="Z13" s="7" t="s">
        <v>359</v>
      </c>
      <c r="AA13" s="7" t="s">
        <v>422</v>
      </c>
      <c r="AB13">
        <v>1799</v>
      </c>
      <c r="AC13" t="s">
        <v>100</v>
      </c>
    </row>
    <row r="14" spans="1:29" ht="150" customHeight="1" x14ac:dyDescent="0.2">
      <c r="A14" s="7" t="s">
        <v>101</v>
      </c>
      <c r="B14" s="7" t="s">
        <v>102</v>
      </c>
      <c r="C14" s="7" t="s">
        <v>52</v>
      </c>
      <c r="D14" s="7" t="s">
        <v>44</v>
      </c>
      <c r="E14" s="7" t="s">
        <v>103</v>
      </c>
      <c r="F14" s="8" t="s">
        <v>104</v>
      </c>
      <c r="G14" s="8" t="s">
        <v>105</v>
      </c>
      <c r="H14" s="8" t="s">
        <v>489</v>
      </c>
      <c r="I14" s="9" t="s">
        <v>107</v>
      </c>
      <c r="J14" s="9" t="s">
        <v>41</v>
      </c>
      <c r="K14" s="9">
        <v>162</v>
      </c>
      <c r="L14" s="9">
        <v>1.8819999999999999</v>
      </c>
      <c r="M14" s="9">
        <v>2056</v>
      </c>
      <c r="N14" s="9">
        <v>285</v>
      </c>
      <c r="O14" s="9">
        <v>6.3899999999999998E-3</v>
      </c>
      <c r="P14" s="13">
        <v>2</v>
      </c>
      <c r="Q14" s="13">
        <v>2</v>
      </c>
      <c r="R14" s="13">
        <v>2</v>
      </c>
      <c r="S14" s="13">
        <v>2</v>
      </c>
      <c r="T14" s="13">
        <v>2</v>
      </c>
      <c r="U14" s="13">
        <v>2</v>
      </c>
      <c r="V14" s="13">
        <v>2</v>
      </c>
      <c r="W14" s="9">
        <v>21</v>
      </c>
      <c r="X14" s="9">
        <f t="shared" si="0"/>
        <v>14</v>
      </c>
      <c r="Y14" s="10">
        <f t="shared" si="1"/>
        <v>0.66666666666666663</v>
      </c>
      <c r="Z14" s="7" t="s">
        <v>360</v>
      </c>
      <c r="AA14" s="7" t="s">
        <v>423</v>
      </c>
      <c r="AB14">
        <v>2341</v>
      </c>
      <c r="AC14" t="s">
        <v>108</v>
      </c>
    </row>
    <row r="15" spans="1:29" ht="150" customHeight="1" x14ac:dyDescent="0.2">
      <c r="A15" s="7" t="s">
        <v>109</v>
      </c>
      <c r="B15" s="7" t="s">
        <v>102</v>
      </c>
      <c r="C15" s="7" t="s">
        <v>78</v>
      </c>
      <c r="D15" s="7" t="s">
        <v>110</v>
      </c>
      <c r="E15" s="7" t="s">
        <v>111</v>
      </c>
      <c r="F15" s="8" t="s">
        <v>112</v>
      </c>
      <c r="G15" s="8" t="s">
        <v>113</v>
      </c>
      <c r="H15" s="8" t="s">
        <v>114</v>
      </c>
      <c r="I15" s="9" t="s">
        <v>115</v>
      </c>
      <c r="J15" s="9" t="s">
        <v>41</v>
      </c>
      <c r="K15" s="9">
        <v>171</v>
      </c>
      <c r="L15" s="9">
        <v>1.9219999999999999</v>
      </c>
      <c r="M15" s="9">
        <v>2278</v>
      </c>
      <c r="N15" s="9">
        <v>256</v>
      </c>
      <c r="O15" s="9">
        <v>6.6E-3</v>
      </c>
      <c r="P15" s="13">
        <v>2</v>
      </c>
      <c r="Q15" s="13">
        <v>2</v>
      </c>
      <c r="R15" s="13">
        <v>2</v>
      </c>
      <c r="S15" s="13">
        <v>2</v>
      </c>
      <c r="T15" s="18">
        <v>3</v>
      </c>
      <c r="U15" s="13">
        <v>2</v>
      </c>
      <c r="V15" s="13">
        <v>2</v>
      </c>
      <c r="W15" s="9">
        <v>21</v>
      </c>
      <c r="X15" s="9">
        <f t="shared" si="0"/>
        <v>15</v>
      </c>
      <c r="Y15" s="10">
        <f t="shared" si="1"/>
        <v>0.7142857142857143</v>
      </c>
      <c r="Z15" s="7" t="s">
        <v>361</v>
      </c>
      <c r="AA15" s="7" t="s">
        <v>424</v>
      </c>
      <c r="AB15">
        <v>2534</v>
      </c>
      <c r="AC15" t="s">
        <v>116</v>
      </c>
    </row>
    <row r="16" spans="1:29" ht="150" customHeight="1" x14ac:dyDescent="0.2">
      <c r="A16" s="7" t="s">
        <v>117</v>
      </c>
      <c r="B16" s="7" t="s">
        <v>102</v>
      </c>
      <c r="C16" s="7" t="s">
        <v>78</v>
      </c>
      <c r="D16" s="7" t="s">
        <v>118</v>
      </c>
      <c r="E16" s="7" t="s">
        <v>119</v>
      </c>
      <c r="F16" s="8" t="s">
        <v>120</v>
      </c>
      <c r="G16" s="8" t="s">
        <v>121</v>
      </c>
      <c r="H16" s="8" t="s">
        <v>122</v>
      </c>
      <c r="I16" s="9" t="s">
        <v>123</v>
      </c>
      <c r="J16" s="9" t="s">
        <v>41</v>
      </c>
      <c r="K16" s="9">
        <v>227</v>
      </c>
      <c r="L16" s="9">
        <v>2.399</v>
      </c>
      <c r="M16" s="9">
        <v>1954</v>
      </c>
      <c r="N16" s="9">
        <v>347</v>
      </c>
      <c r="O16" s="9">
        <v>6.6800000000000002E-3</v>
      </c>
      <c r="P16" s="13">
        <v>2</v>
      </c>
      <c r="Q16" s="13">
        <v>2</v>
      </c>
      <c r="R16" s="13">
        <v>2</v>
      </c>
      <c r="S16" s="13">
        <v>2</v>
      </c>
      <c r="T16" s="18">
        <v>3</v>
      </c>
      <c r="U16" s="13">
        <v>3</v>
      </c>
      <c r="V16" s="13">
        <v>2</v>
      </c>
      <c r="W16" s="9">
        <v>21</v>
      </c>
      <c r="X16" s="9">
        <f t="shared" si="0"/>
        <v>16</v>
      </c>
      <c r="Y16" s="10">
        <f t="shared" si="1"/>
        <v>0.76190476190476186</v>
      </c>
      <c r="Z16" s="7" t="s">
        <v>362</v>
      </c>
      <c r="AA16" s="7" t="s">
        <v>425</v>
      </c>
      <c r="AB16">
        <v>2301</v>
      </c>
      <c r="AC16" t="s">
        <v>124</v>
      </c>
    </row>
    <row r="17" spans="1:29" ht="150" customHeight="1" x14ac:dyDescent="0.2">
      <c r="A17" s="7" t="s">
        <v>125</v>
      </c>
      <c r="B17" s="7" t="s">
        <v>102</v>
      </c>
      <c r="C17" s="7" t="s">
        <v>78</v>
      </c>
      <c r="D17" s="7" t="s">
        <v>126</v>
      </c>
      <c r="E17" s="7" t="s">
        <v>127</v>
      </c>
      <c r="F17" s="8" t="s">
        <v>128</v>
      </c>
      <c r="G17" s="8" t="s">
        <v>129</v>
      </c>
      <c r="H17" s="8" t="s">
        <v>130</v>
      </c>
      <c r="I17" s="9" t="s">
        <v>131</v>
      </c>
      <c r="J17" s="9" t="s">
        <v>41</v>
      </c>
      <c r="K17" s="9">
        <v>180</v>
      </c>
      <c r="L17" s="9">
        <v>2.8050000000000002</v>
      </c>
      <c r="M17" s="9">
        <v>1907</v>
      </c>
      <c r="N17" s="9">
        <v>254</v>
      </c>
      <c r="O17" s="9">
        <v>5.8500000000000002E-3</v>
      </c>
      <c r="P17" s="13">
        <v>2</v>
      </c>
      <c r="Q17" s="13">
        <v>2</v>
      </c>
      <c r="R17" s="13">
        <v>2</v>
      </c>
      <c r="S17" s="13">
        <v>2</v>
      </c>
      <c r="T17" s="13">
        <v>2</v>
      </c>
      <c r="U17" s="13">
        <v>2</v>
      </c>
      <c r="V17" s="13">
        <v>1</v>
      </c>
      <c r="W17" s="9">
        <v>21</v>
      </c>
      <c r="X17" s="9">
        <f t="shared" si="0"/>
        <v>13</v>
      </c>
      <c r="Y17" s="10">
        <f t="shared" si="1"/>
        <v>0.61904761904761907</v>
      </c>
      <c r="Z17" s="7" t="s">
        <v>363</v>
      </c>
      <c r="AA17" s="7" t="s">
        <v>426</v>
      </c>
      <c r="AB17">
        <v>2161</v>
      </c>
      <c r="AC17" t="s">
        <v>132</v>
      </c>
    </row>
    <row r="18" spans="1:29" ht="150" customHeight="1" x14ac:dyDescent="0.2">
      <c r="A18" s="7" t="s">
        <v>133</v>
      </c>
      <c r="B18" s="7" t="s">
        <v>134</v>
      </c>
      <c r="C18" s="7" t="s">
        <v>52</v>
      </c>
      <c r="D18" s="7" t="s">
        <v>44</v>
      </c>
      <c r="E18" s="7" t="s">
        <v>135</v>
      </c>
      <c r="F18" s="8" t="s">
        <v>136</v>
      </c>
      <c r="G18" s="8" t="s">
        <v>137</v>
      </c>
      <c r="H18" s="8" t="s">
        <v>138</v>
      </c>
      <c r="I18" s="9" t="s">
        <v>139</v>
      </c>
      <c r="J18" s="9" t="s">
        <v>41</v>
      </c>
      <c r="K18" s="9">
        <v>224</v>
      </c>
      <c r="L18" s="9">
        <v>2.3959999999999999</v>
      </c>
      <c r="M18" s="9">
        <v>1970</v>
      </c>
      <c r="N18" s="9">
        <v>337</v>
      </c>
      <c r="O18" s="9">
        <v>6.6400000000000001E-3</v>
      </c>
      <c r="P18" s="13">
        <v>2</v>
      </c>
      <c r="Q18" s="13">
        <v>2</v>
      </c>
      <c r="R18" s="13">
        <v>2</v>
      </c>
      <c r="S18" s="13">
        <v>2</v>
      </c>
      <c r="T18" s="13">
        <v>2</v>
      </c>
      <c r="U18" s="13">
        <v>2</v>
      </c>
      <c r="V18" s="13">
        <v>1</v>
      </c>
      <c r="W18" s="9">
        <v>21</v>
      </c>
      <c r="X18" s="9">
        <f t="shared" si="0"/>
        <v>13</v>
      </c>
      <c r="Y18" s="10">
        <f t="shared" si="1"/>
        <v>0.61904761904761907</v>
      </c>
      <c r="Z18" s="7" t="s">
        <v>364</v>
      </c>
      <c r="AA18" s="7" t="s">
        <v>427</v>
      </c>
      <c r="AB18">
        <v>2307</v>
      </c>
      <c r="AC18" t="s">
        <v>140</v>
      </c>
    </row>
    <row r="19" spans="1:29" ht="150" customHeight="1" x14ac:dyDescent="0.2">
      <c r="A19" s="7" t="s">
        <v>141</v>
      </c>
      <c r="B19" s="7" t="s">
        <v>134</v>
      </c>
      <c r="C19" s="7" t="s">
        <v>78</v>
      </c>
      <c r="D19" s="7" t="s">
        <v>142</v>
      </c>
      <c r="E19" s="7" t="s">
        <v>143</v>
      </c>
      <c r="F19" s="8" t="s">
        <v>144</v>
      </c>
      <c r="G19" s="8" t="s">
        <v>481</v>
      </c>
      <c r="H19" s="8" t="s">
        <v>482</v>
      </c>
      <c r="I19" s="9" t="s">
        <v>147</v>
      </c>
      <c r="J19" s="9" t="s">
        <v>41</v>
      </c>
      <c r="K19" s="9">
        <v>202</v>
      </c>
      <c r="L19" s="9">
        <v>2.601</v>
      </c>
      <c r="M19" s="9">
        <v>1894</v>
      </c>
      <c r="N19" s="9">
        <v>306</v>
      </c>
      <c r="O19" s="9">
        <v>6.2399999999999999E-3</v>
      </c>
      <c r="P19" s="13">
        <v>2</v>
      </c>
      <c r="Q19" s="13">
        <v>2</v>
      </c>
      <c r="R19" s="13">
        <v>2</v>
      </c>
      <c r="S19" s="13">
        <v>2</v>
      </c>
      <c r="T19" s="13">
        <v>2</v>
      </c>
      <c r="U19" s="13">
        <v>3</v>
      </c>
      <c r="V19" s="13">
        <v>2</v>
      </c>
      <c r="W19" s="9">
        <v>21</v>
      </c>
      <c r="X19" s="9">
        <f t="shared" si="0"/>
        <v>15</v>
      </c>
      <c r="Y19" s="10">
        <f t="shared" si="1"/>
        <v>0.7142857142857143</v>
      </c>
      <c r="Z19" s="7" t="s">
        <v>319</v>
      </c>
      <c r="AA19" s="7" t="s">
        <v>428</v>
      </c>
      <c r="AB19">
        <v>2200</v>
      </c>
      <c r="AC19" t="s">
        <v>148</v>
      </c>
    </row>
    <row r="20" spans="1:29" ht="150" customHeight="1" x14ac:dyDescent="0.2">
      <c r="A20" s="7" t="s">
        <v>149</v>
      </c>
      <c r="B20" s="7" t="s">
        <v>134</v>
      </c>
      <c r="C20" s="7" t="s">
        <v>78</v>
      </c>
      <c r="D20" s="7" t="s">
        <v>150</v>
      </c>
      <c r="E20" s="7" t="s">
        <v>151</v>
      </c>
      <c r="F20" s="8" t="s">
        <v>152</v>
      </c>
      <c r="G20" s="8" t="s">
        <v>153</v>
      </c>
      <c r="H20" s="8" t="s">
        <v>154</v>
      </c>
      <c r="I20" s="9" t="s">
        <v>155</v>
      </c>
      <c r="J20" s="9" t="s">
        <v>41</v>
      </c>
      <c r="K20" s="9">
        <v>195</v>
      </c>
      <c r="L20" s="9">
        <v>2.2360000000000002</v>
      </c>
      <c r="M20" s="9">
        <v>1770</v>
      </c>
      <c r="N20" s="9">
        <v>296</v>
      </c>
      <c r="O20" s="9">
        <v>5.9100000000000003E-3</v>
      </c>
      <c r="P20" s="13">
        <v>2</v>
      </c>
      <c r="Q20" s="13">
        <v>2</v>
      </c>
      <c r="R20" s="13">
        <v>2</v>
      </c>
      <c r="S20" s="16">
        <v>1</v>
      </c>
      <c r="T20" s="13">
        <v>2</v>
      </c>
      <c r="U20" s="13">
        <v>2</v>
      </c>
      <c r="V20" s="13">
        <v>2</v>
      </c>
      <c r="W20" s="9">
        <v>21</v>
      </c>
      <c r="X20" s="9">
        <f t="shared" si="0"/>
        <v>13</v>
      </c>
      <c r="Y20" s="10">
        <f t="shared" si="1"/>
        <v>0.61904761904761907</v>
      </c>
      <c r="Z20" s="7" t="s">
        <v>365</v>
      </c>
      <c r="AA20" s="7" t="s">
        <v>429</v>
      </c>
      <c r="AB20">
        <v>2066</v>
      </c>
      <c r="AC20" t="s">
        <v>156</v>
      </c>
    </row>
    <row r="21" spans="1:29" ht="150" customHeight="1" x14ac:dyDescent="0.2">
      <c r="A21" s="7" t="s">
        <v>157</v>
      </c>
      <c r="B21" s="7" t="s">
        <v>134</v>
      </c>
      <c r="C21" s="7" t="s">
        <v>78</v>
      </c>
      <c r="D21" s="7" t="s">
        <v>158</v>
      </c>
      <c r="E21" s="7" t="s">
        <v>159</v>
      </c>
      <c r="F21" s="8"/>
      <c r="G21" s="8"/>
      <c r="H21" s="8" t="s">
        <v>483</v>
      </c>
      <c r="I21" s="9" t="s">
        <v>161</v>
      </c>
      <c r="J21" s="9" t="s">
        <v>41</v>
      </c>
      <c r="K21" s="9">
        <v>182</v>
      </c>
      <c r="L21" s="9">
        <v>2.0470000000000002</v>
      </c>
      <c r="M21" s="9">
        <v>1833</v>
      </c>
      <c r="N21" s="9">
        <v>249</v>
      </c>
      <c r="O21" s="9">
        <v>5.6600000000000001E-3</v>
      </c>
      <c r="P21" s="13">
        <v>2</v>
      </c>
      <c r="Q21" s="13">
        <v>3</v>
      </c>
      <c r="R21" s="13">
        <v>2</v>
      </c>
      <c r="S21" s="13">
        <v>2</v>
      </c>
      <c r="T21" s="18">
        <v>3</v>
      </c>
      <c r="U21" s="13">
        <v>3</v>
      </c>
      <c r="V21" s="13">
        <v>2</v>
      </c>
      <c r="W21" s="9">
        <v>21</v>
      </c>
      <c r="X21" s="9">
        <f t="shared" si="0"/>
        <v>17</v>
      </c>
      <c r="Y21" s="10">
        <f t="shared" si="1"/>
        <v>0.80952380952380953</v>
      </c>
      <c r="Z21" s="7" t="s">
        <v>366</v>
      </c>
      <c r="AA21" s="7" t="s">
        <v>430</v>
      </c>
      <c r="AB21">
        <v>2082</v>
      </c>
      <c r="AC21" t="s">
        <v>162</v>
      </c>
    </row>
    <row r="22" spans="1:29" ht="150" customHeight="1" x14ac:dyDescent="0.2">
      <c r="A22" s="7" t="s">
        <v>163</v>
      </c>
      <c r="B22" s="7" t="s">
        <v>164</v>
      </c>
      <c r="C22" s="7" t="s">
        <v>52</v>
      </c>
      <c r="D22" s="7" t="s">
        <v>165</v>
      </c>
      <c r="E22" s="7" t="s">
        <v>166</v>
      </c>
      <c r="F22" s="8"/>
      <c r="G22" s="8" t="s">
        <v>474</v>
      </c>
      <c r="H22" s="8" t="s">
        <v>473</v>
      </c>
      <c r="I22" s="9" t="s">
        <v>169</v>
      </c>
      <c r="J22" s="9" t="s">
        <v>41</v>
      </c>
      <c r="K22" s="9">
        <v>154</v>
      </c>
      <c r="L22" s="9">
        <v>1.9870000000000001</v>
      </c>
      <c r="M22" s="9">
        <v>2319</v>
      </c>
      <c r="N22" s="9">
        <v>215</v>
      </c>
      <c r="O22" s="9">
        <v>6.3600000000000002E-3</v>
      </c>
      <c r="P22" s="13">
        <v>2</v>
      </c>
      <c r="Q22" s="13">
        <v>2</v>
      </c>
      <c r="R22" s="16">
        <v>1</v>
      </c>
      <c r="S22" s="12" t="s">
        <v>170</v>
      </c>
      <c r="T22" s="12" t="s">
        <v>170</v>
      </c>
      <c r="U22" s="13">
        <v>3</v>
      </c>
      <c r="V22" s="13">
        <v>2</v>
      </c>
      <c r="W22" s="9">
        <v>15</v>
      </c>
      <c r="X22" s="9">
        <f t="shared" si="0"/>
        <v>10</v>
      </c>
      <c r="Y22" s="10">
        <f>IF(X22="","",X22/15)</f>
        <v>0.66666666666666663</v>
      </c>
      <c r="Z22" s="7" t="s">
        <v>367</v>
      </c>
      <c r="AA22" s="7" t="s">
        <v>431</v>
      </c>
      <c r="AB22">
        <v>2534</v>
      </c>
      <c r="AC22" t="s">
        <v>171</v>
      </c>
    </row>
    <row r="23" spans="1:29" ht="150" customHeight="1" x14ac:dyDescent="0.2">
      <c r="A23" s="7" t="s">
        <v>172</v>
      </c>
      <c r="B23" s="7" t="s">
        <v>164</v>
      </c>
      <c r="C23" s="7" t="s">
        <v>78</v>
      </c>
      <c r="D23" s="7" t="s">
        <v>173</v>
      </c>
      <c r="E23" s="7" t="s">
        <v>174</v>
      </c>
      <c r="F23" s="8"/>
      <c r="G23" s="8" t="s">
        <v>488</v>
      </c>
      <c r="H23" s="8" t="s">
        <v>484</v>
      </c>
      <c r="I23" s="9" t="s">
        <v>177</v>
      </c>
      <c r="J23" s="9" t="s">
        <v>41</v>
      </c>
      <c r="K23" s="9">
        <v>184</v>
      </c>
      <c r="L23" s="9">
        <v>1.7310000000000001</v>
      </c>
      <c r="M23" s="9">
        <v>2005</v>
      </c>
      <c r="N23" s="9">
        <v>241</v>
      </c>
      <c r="O23" s="9">
        <v>5.94E-3</v>
      </c>
      <c r="P23" s="16">
        <v>2</v>
      </c>
      <c r="Q23" s="13">
        <v>3</v>
      </c>
      <c r="R23" s="13">
        <v>2</v>
      </c>
      <c r="S23" s="12" t="s">
        <v>170</v>
      </c>
      <c r="T23" s="12" t="s">
        <v>170</v>
      </c>
      <c r="U23" s="13">
        <v>3</v>
      </c>
      <c r="V23" s="13">
        <v>2</v>
      </c>
      <c r="W23" s="9">
        <v>15</v>
      </c>
      <c r="X23" s="9">
        <f t="shared" si="0"/>
        <v>12</v>
      </c>
      <c r="Y23" s="10">
        <f>IF(X23="","",X23/15)</f>
        <v>0.8</v>
      </c>
      <c r="Z23" s="7" t="s">
        <v>368</v>
      </c>
      <c r="AA23" s="7" t="s">
        <v>432</v>
      </c>
      <c r="AB23">
        <v>2246</v>
      </c>
      <c r="AC23" t="s">
        <v>178</v>
      </c>
    </row>
    <row r="24" spans="1:29" ht="150" customHeight="1" x14ac:dyDescent="0.2">
      <c r="A24" s="7" t="s">
        <v>179</v>
      </c>
      <c r="B24" s="7" t="s">
        <v>164</v>
      </c>
      <c r="C24" s="7" t="s">
        <v>34</v>
      </c>
      <c r="D24" s="7" t="s">
        <v>180</v>
      </c>
      <c r="E24" s="7" t="s">
        <v>181</v>
      </c>
      <c r="F24" s="8"/>
      <c r="G24" s="8" t="s">
        <v>477</v>
      </c>
      <c r="H24" s="8" t="s">
        <v>478</v>
      </c>
      <c r="I24" s="9" t="s">
        <v>184</v>
      </c>
      <c r="J24" s="9" t="s">
        <v>41</v>
      </c>
      <c r="K24" s="9">
        <v>136</v>
      </c>
      <c r="L24" s="9">
        <v>1.716</v>
      </c>
      <c r="M24" s="9">
        <v>2194</v>
      </c>
      <c r="N24" s="9">
        <v>196</v>
      </c>
      <c r="O24" s="9">
        <v>5.96E-3</v>
      </c>
      <c r="P24" s="13">
        <v>3</v>
      </c>
      <c r="Q24" s="13">
        <v>3</v>
      </c>
      <c r="R24" s="13">
        <v>2</v>
      </c>
      <c r="S24" s="12" t="s">
        <v>170</v>
      </c>
      <c r="T24" s="12" t="s">
        <v>170</v>
      </c>
      <c r="U24" s="13">
        <v>3</v>
      </c>
      <c r="V24" s="13">
        <v>2</v>
      </c>
      <c r="W24" s="9">
        <v>15</v>
      </c>
      <c r="X24" s="9">
        <f t="shared" si="0"/>
        <v>13</v>
      </c>
      <c r="Y24" s="10">
        <f>IF(X24="","",X24/15)</f>
        <v>0.8666666666666667</v>
      </c>
      <c r="Z24" s="7" t="s">
        <v>369</v>
      </c>
      <c r="AA24" s="7" t="s">
        <v>433</v>
      </c>
      <c r="AB24">
        <v>2390</v>
      </c>
      <c r="AC24" t="s">
        <v>185</v>
      </c>
    </row>
    <row r="25" spans="1:29" ht="150" customHeight="1" x14ac:dyDescent="0.2">
      <c r="A25" s="7" t="s">
        <v>186</v>
      </c>
      <c r="B25" s="7" t="s">
        <v>187</v>
      </c>
      <c r="C25" s="7" t="s">
        <v>78</v>
      </c>
      <c r="D25" s="7" t="s">
        <v>188</v>
      </c>
      <c r="E25" s="7" t="s">
        <v>189</v>
      </c>
      <c r="F25" s="8"/>
      <c r="G25" s="8" t="s">
        <v>487</v>
      </c>
      <c r="H25" s="8" t="s">
        <v>479</v>
      </c>
      <c r="I25" s="9" t="s">
        <v>192</v>
      </c>
      <c r="J25" s="9" t="s">
        <v>41</v>
      </c>
      <c r="K25" s="9">
        <v>172</v>
      </c>
      <c r="L25" s="9">
        <v>1.782</v>
      </c>
      <c r="M25" s="9">
        <v>2621</v>
      </c>
      <c r="N25" s="9">
        <v>254</v>
      </c>
      <c r="O25" s="9">
        <v>7.2700000000000004E-3</v>
      </c>
      <c r="P25" s="13">
        <v>2</v>
      </c>
      <c r="Q25" s="13">
        <v>1</v>
      </c>
      <c r="R25" s="13">
        <v>1</v>
      </c>
      <c r="S25" s="12" t="s">
        <v>170</v>
      </c>
      <c r="T25" s="12" t="s">
        <v>170</v>
      </c>
      <c r="U25" s="13">
        <v>2</v>
      </c>
      <c r="V25" s="13">
        <v>1</v>
      </c>
      <c r="W25" s="9">
        <v>15</v>
      </c>
      <c r="X25" s="9">
        <f t="shared" si="0"/>
        <v>7</v>
      </c>
      <c r="Y25" s="10">
        <f>IF(X25="","",X25/15)</f>
        <v>0.46666666666666667</v>
      </c>
      <c r="Z25" s="7" t="s">
        <v>370</v>
      </c>
      <c r="AA25" s="7" t="s">
        <v>434</v>
      </c>
      <c r="AB25">
        <v>2875</v>
      </c>
      <c r="AC25" t="s">
        <v>193</v>
      </c>
    </row>
    <row r="27" spans="1:29" x14ac:dyDescent="0.2">
      <c r="C27" s="20" t="s">
        <v>194</v>
      </c>
      <c r="E27" s="6" t="s">
        <v>195</v>
      </c>
      <c r="X27" s="25">
        <f>IFERROR(AVERAGE(X6:X21),"")</f>
        <v>14.25</v>
      </c>
      <c r="Y27" s="25"/>
    </row>
    <row r="28" spans="1:29" x14ac:dyDescent="0.2">
      <c r="C28" s="20" t="s">
        <v>196</v>
      </c>
      <c r="E28" s="6" t="s">
        <v>197</v>
      </c>
      <c r="X28" s="25">
        <f>IFERROR(AVERAGE(X22:X25),"")</f>
        <v>10.5</v>
      </c>
      <c r="Y28" s="25"/>
    </row>
    <row r="29" spans="1:29" x14ac:dyDescent="0.2">
      <c r="C29" s="20" t="s">
        <v>198</v>
      </c>
      <c r="E29" s="6" t="s">
        <v>198</v>
      </c>
      <c r="X29" s="25"/>
      <c r="Y29" s="26">
        <f>IFERROR(AVERAGE(Y6:Y25),"")</f>
        <v>0.68285714285714283</v>
      </c>
    </row>
  </sheetData>
  <mergeCells count="3">
    <mergeCell ref="F4:H4"/>
    <mergeCell ref="I4:O4"/>
    <mergeCell ref="P4:Y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39"/>
  <sheetViews>
    <sheetView workbookViewId="0">
      <pane xSplit="5" ySplit="5" topLeftCell="K25" activePane="bottomRight" state="frozen"/>
      <selection pane="topRight"/>
      <selection pane="bottomLeft"/>
      <selection pane="bottomRight" activeCell="V5" sqref="V5"/>
    </sheetView>
  </sheetViews>
  <sheetFormatPr baseColWidth="10" defaultColWidth="8.83203125" defaultRowHeight="15" x14ac:dyDescent="0.2"/>
  <cols>
    <col min="1" max="1" width="7" customWidth="1"/>
    <col min="2" max="2" width="22" customWidth="1"/>
    <col min="3" max="3" width="10" customWidth="1"/>
    <col min="4" max="4" width="18" customWidth="1"/>
    <col min="5" max="5" width="42" customWidth="1"/>
    <col min="6" max="6" width="28" customWidth="1"/>
    <col min="7" max="7" width="44" customWidth="1"/>
    <col min="8" max="8" width="40" customWidth="1"/>
    <col min="9" max="9" width="34" customWidth="1"/>
    <col min="10" max="10" width="20" customWidth="1"/>
    <col min="11" max="11" width="7" customWidth="1"/>
    <col min="12" max="12" width="8" customWidth="1"/>
    <col min="13" max="14" width="9" customWidth="1"/>
    <col min="15" max="15" width="8" customWidth="1"/>
    <col min="16" max="22" width="4" customWidth="1"/>
    <col min="23" max="25" width="7" customWidth="1"/>
    <col min="26" max="26" width="76" customWidth="1"/>
    <col min="27" max="27" width="92" customWidth="1"/>
    <col min="28" max="28" width="13" customWidth="1"/>
    <col min="29" max="29" width="26" customWidth="1"/>
  </cols>
  <sheetData>
    <row r="1" spans="1:29" ht="19" customHeight="1" x14ac:dyDescent="0.25">
      <c r="A1" s="1" t="s">
        <v>470</v>
      </c>
    </row>
    <row r="2" spans="1:29" x14ac:dyDescent="0.2">
      <c r="A2" s="2"/>
    </row>
    <row r="4" spans="1:29" x14ac:dyDescent="0.2">
      <c r="F4" s="28" t="s">
        <v>0</v>
      </c>
      <c r="G4" s="29"/>
      <c r="H4" s="29"/>
      <c r="I4" s="30" t="s">
        <v>1</v>
      </c>
      <c r="J4" s="29"/>
      <c r="K4" s="29"/>
      <c r="L4" s="29"/>
      <c r="M4" s="29"/>
      <c r="N4" s="29"/>
      <c r="O4" s="29"/>
      <c r="P4" s="30" t="s">
        <v>2</v>
      </c>
      <c r="Q4" s="29"/>
      <c r="R4" s="29"/>
      <c r="S4" s="29"/>
      <c r="T4" s="29"/>
      <c r="U4" s="29"/>
      <c r="V4" s="29"/>
      <c r="W4" s="29"/>
      <c r="X4" s="29"/>
      <c r="Y4" s="29"/>
    </row>
    <row r="5" spans="1:29" ht="42" customHeight="1" x14ac:dyDescent="0.2">
      <c r="A5" s="3" t="s">
        <v>3</v>
      </c>
      <c r="B5" s="3" t="s">
        <v>4</v>
      </c>
      <c r="C5" s="3" t="s">
        <v>5</v>
      </c>
      <c r="D5" s="3" t="s">
        <v>6</v>
      </c>
      <c r="E5" s="3" t="s">
        <v>7</v>
      </c>
      <c r="F5" s="3" t="s">
        <v>8</v>
      </c>
      <c r="G5" s="3" t="s">
        <v>9</v>
      </c>
      <c r="H5" s="3" t="s">
        <v>10</v>
      </c>
      <c r="I5" s="3" t="s">
        <v>11</v>
      </c>
      <c r="J5" s="3" t="s">
        <v>12</v>
      </c>
      <c r="K5" s="3" t="s">
        <v>13</v>
      </c>
      <c r="L5" s="3" t="s">
        <v>14</v>
      </c>
      <c r="M5" s="3" t="s">
        <v>472</v>
      </c>
      <c r="N5" s="3" t="s">
        <v>248</v>
      </c>
      <c r="O5" s="3" t="s">
        <v>17</v>
      </c>
      <c r="P5" s="3" t="s">
        <v>18</v>
      </c>
      <c r="Q5" s="3" t="s">
        <v>19</v>
      </c>
      <c r="R5" s="3" t="s">
        <v>20</v>
      </c>
      <c r="S5" s="3" t="s">
        <v>21</v>
      </c>
      <c r="T5" s="3" t="s">
        <v>22</v>
      </c>
      <c r="U5" s="3" t="s">
        <v>23</v>
      </c>
      <c r="V5" s="3" t="s">
        <v>24</v>
      </c>
      <c r="W5" s="3" t="s">
        <v>25</v>
      </c>
      <c r="X5" s="3" t="s">
        <v>26</v>
      </c>
      <c r="Y5" s="3" t="s">
        <v>27</v>
      </c>
      <c r="Z5" s="3" t="s">
        <v>28</v>
      </c>
      <c r="AA5" s="3" t="s">
        <v>29</v>
      </c>
      <c r="AB5" s="20" t="s">
        <v>30</v>
      </c>
      <c r="AC5" s="20" t="s">
        <v>31</v>
      </c>
    </row>
    <row r="6" spans="1:29" ht="150" customHeight="1" x14ac:dyDescent="0.2">
      <c r="A6" s="7" t="s">
        <v>32</v>
      </c>
      <c r="B6" s="7" t="s">
        <v>33</v>
      </c>
      <c r="C6" s="7" t="s">
        <v>34</v>
      </c>
      <c r="D6" s="7" t="s">
        <v>35</v>
      </c>
      <c r="E6" s="7" t="s">
        <v>36</v>
      </c>
      <c r="F6" s="8" t="s">
        <v>37</v>
      </c>
      <c r="G6" s="8" t="s">
        <v>38</v>
      </c>
      <c r="H6" s="8" t="s">
        <v>490</v>
      </c>
      <c r="I6" s="9" t="s">
        <v>40</v>
      </c>
      <c r="J6" s="9" t="s">
        <v>41</v>
      </c>
      <c r="K6" s="9">
        <v>170</v>
      </c>
      <c r="L6" s="9">
        <v>39.057000000000002</v>
      </c>
      <c r="M6" s="9"/>
      <c r="N6" s="9">
        <v>5088</v>
      </c>
      <c r="O6" s="9">
        <v>1.3610000000000001E-2</v>
      </c>
      <c r="P6" s="13">
        <v>2</v>
      </c>
      <c r="Q6" s="13">
        <v>1</v>
      </c>
      <c r="R6" s="13">
        <v>2</v>
      </c>
      <c r="S6" s="13">
        <v>2</v>
      </c>
      <c r="T6" s="18">
        <v>3</v>
      </c>
      <c r="U6" s="13">
        <v>2</v>
      </c>
      <c r="V6" s="13">
        <v>2</v>
      </c>
      <c r="W6" s="9">
        <v>21</v>
      </c>
      <c r="X6" s="9">
        <f t="shared" ref="X6:X25" si="0">IF(COUNT(P6:V6)=0,"",SUM(P6:V6))</f>
        <v>14</v>
      </c>
      <c r="Y6" s="10">
        <f t="shared" ref="Y6:Y21" si="1">IF(X6="","",X6/21)</f>
        <v>0.66666666666666663</v>
      </c>
      <c r="Z6" s="7" t="s">
        <v>371</v>
      </c>
      <c r="AA6" s="7" t="s">
        <v>435</v>
      </c>
      <c r="AB6">
        <v>5088</v>
      </c>
      <c r="AC6" t="s">
        <v>249</v>
      </c>
    </row>
    <row r="7" spans="1:29" ht="150" customHeight="1" x14ac:dyDescent="0.2">
      <c r="A7" s="7" t="s">
        <v>43</v>
      </c>
      <c r="B7" s="7" t="s">
        <v>33</v>
      </c>
      <c r="C7" s="7" t="s">
        <v>34</v>
      </c>
      <c r="D7" s="7" t="s">
        <v>44</v>
      </c>
      <c r="E7" s="7" t="s">
        <v>45</v>
      </c>
      <c r="F7" s="8" t="s">
        <v>46</v>
      </c>
      <c r="G7" s="8" t="s">
        <v>47</v>
      </c>
      <c r="H7" s="8" t="s">
        <v>48</v>
      </c>
      <c r="I7" s="9" t="s">
        <v>49</v>
      </c>
      <c r="J7" s="9" t="s">
        <v>41</v>
      </c>
      <c r="K7" s="9">
        <v>147</v>
      </c>
      <c r="L7" s="9">
        <v>38.234999999999999</v>
      </c>
      <c r="M7" s="9"/>
      <c r="N7" s="9">
        <v>5255</v>
      </c>
      <c r="O7" s="9">
        <v>1.363E-2</v>
      </c>
      <c r="P7" s="18">
        <v>3</v>
      </c>
      <c r="Q7" s="13">
        <v>2</v>
      </c>
      <c r="R7" s="13">
        <v>2</v>
      </c>
      <c r="S7" s="13">
        <v>2</v>
      </c>
      <c r="T7" s="13">
        <v>2</v>
      </c>
      <c r="U7" s="13">
        <v>2</v>
      </c>
      <c r="V7" s="13">
        <v>2</v>
      </c>
      <c r="W7" s="9">
        <v>21</v>
      </c>
      <c r="X7" s="9">
        <f t="shared" si="0"/>
        <v>15</v>
      </c>
      <c r="Y7" s="10">
        <f t="shared" si="1"/>
        <v>0.7142857142857143</v>
      </c>
      <c r="Z7" s="7" t="s">
        <v>372</v>
      </c>
      <c r="AA7" s="7" t="s">
        <v>436</v>
      </c>
      <c r="AB7">
        <v>5255</v>
      </c>
      <c r="AC7" t="s">
        <v>250</v>
      </c>
    </row>
    <row r="8" spans="1:29" ht="150" customHeight="1" x14ac:dyDescent="0.2">
      <c r="A8" s="7" t="s">
        <v>51</v>
      </c>
      <c r="B8" s="7" t="s">
        <v>33</v>
      </c>
      <c r="C8" s="7" t="s">
        <v>52</v>
      </c>
      <c r="D8" s="7" t="s">
        <v>53</v>
      </c>
      <c r="E8" s="7" t="s">
        <v>54</v>
      </c>
      <c r="F8" s="8" t="s">
        <v>55</v>
      </c>
      <c r="G8" s="8" t="s">
        <v>56</v>
      </c>
      <c r="H8" s="8" t="s">
        <v>57</v>
      </c>
      <c r="I8" s="9" t="s">
        <v>58</v>
      </c>
      <c r="J8" s="9" t="s">
        <v>41</v>
      </c>
      <c r="K8" s="9">
        <v>143</v>
      </c>
      <c r="L8" s="9">
        <v>39.305</v>
      </c>
      <c r="M8" s="9"/>
      <c r="N8" s="9">
        <v>6249</v>
      </c>
      <c r="O8" s="9">
        <v>1.549E-2</v>
      </c>
      <c r="P8" s="18">
        <v>3</v>
      </c>
      <c r="Q8" s="13">
        <v>2</v>
      </c>
      <c r="R8" s="13">
        <v>1</v>
      </c>
      <c r="S8" s="13">
        <v>2</v>
      </c>
      <c r="T8" s="13">
        <v>2</v>
      </c>
      <c r="U8" s="13">
        <v>1</v>
      </c>
      <c r="V8" s="13">
        <v>2</v>
      </c>
      <c r="W8" s="9">
        <v>21</v>
      </c>
      <c r="X8" s="9">
        <f t="shared" si="0"/>
        <v>13</v>
      </c>
      <c r="Y8" s="10">
        <f t="shared" si="1"/>
        <v>0.61904761904761907</v>
      </c>
      <c r="Z8" s="7" t="s">
        <v>373</v>
      </c>
      <c r="AA8" s="7" t="s">
        <v>437</v>
      </c>
      <c r="AB8">
        <v>6249</v>
      </c>
      <c r="AC8" t="s">
        <v>251</v>
      </c>
    </row>
    <row r="9" spans="1:29" ht="150" customHeight="1" x14ac:dyDescent="0.2">
      <c r="A9" s="7" t="s">
        <v>60</v>
      </c>
      <c r="B9" s="7" t="s">
        <v>33</v>
      </c>
      <c r="C9" s="7" t="s">
        <v>52</v>
      </c>
      <c r="D9" s="7" t="s">
        <v>61</v>
      </c>
      <c r="E9" s="7" t="s">
        <v>62</v>
      </c>
      <c r="F9" s="8" t="s">
        <v>63</v>
      </c>
      <c r="G9" s="8" t="s">
        <v>64</v>
      </c>
      <c r="H9" s="8" t="s">
        <v>65</v>
      </c>
      <c r="I9" s="9" t="s">
        <v>66</v>
      </c>
      <c r="J9" s="9" t="s">
        <v>41</v>
      </c>
      <c r="K9" s="9">
        <v>131</v>
      </c>
      <c r="L9" s="9">
        <v>29.588999999999999</v>
      </c>
      <c r="M9" s="9"/>
      <c r="N9" s="9">
        <v>5356</v>
      </c>
      <c r="O9" s="9">
        <v>1.397E-2</v>
      </c>
      <c r="P9" s="18">
        <v>3</v>
      </c>
      <c r="Q9" s="13">
        <v>2</v>
      </c>
      <c r="R9" s="13">
        <v>1</v>
      </c>
      <c r="S9" s="13">
        <v>2</v>
      </c>
      <c r="T9" s="18">
        <v>3</v>
      </c>
      <c r="U9" s="13">
        <v>2</v>
      </c>
      <c r="V9" s="13">
        <v>2</v>
      </c>
      <c r="W9" s="9">
        <v>21</v>
      </c>
      <c r="X9" s="9">
        <f t="shared" si="0"/>
        <v>15</v>
      </c>
      <c r="Y9" s="10">
        <f t="shared" si="1"/>
        <v>0.7142857142857143</v>
      </c>
      <c r="Z9" s="7" t="s">
        <v>374</v>
      </c>
      <c r="AA9" s="7" t="s">
        <v>438</v>
      </c>
      <c r="AB9">
        <v>5356</v>
      </c>
      <c r="AC9" t="s">
        <v>252</v>
      </c>
    </row>
    <row r="10" spans="1:29" ht="150" customHeight="1" x14ac:dyDescent="0.2">
      <c r="A10" s="7" t="s">
        <v>68</v>
      </c>
      <c r="B10" s="7" t="s">
        <v>69</v>
      </c>
      <c r="C10" s="7" t="s">
        <v>52</v>
      </c>
      <c r="D10" s="7" t="s">
        <v>70</v>
      </c>
      <c r="E10" s="7" t="s">
        <v>71</v>
      </c>
      <c r="F10" s="8" t="s">
        <v>72</v>
      </c>
      <c r="G10" s="8" t="s">
        <v>73</v>
      </c>
      <c r="H10" s="8" t="s">
        <v>74</v>
      </c>
      <c r="I10" s="9" t="s">
        <v>75</v>
      </c>
      <c r="J10" s="9" t="s">
        <v>41</v>
      </c>
      <c r="K10" s="9">
        <v>148</v>
      </c>
      <c r="L10" s="9">
        <v>34.037999999999997</v>
      </c>
      <c r="M10" s="9"/>
      <c r="N10" s="9">
        <v>5022</v>
      </c>
      <c r="O10" s="9">
        <v>1.304E-2</v>
      </c>
      <c r="P10" s="18">
        <v>3</v>
      </c>
      <c r="Q10" s="13">
        <v>2</v>
      </c>
      <c r="R10" s="13">
        <v>2</v>
      </c>
      <c r="S10" s="13">
        <v>2</v>
      </c>
      <c r="T10" s="13">
        <v>2</v>
      </c>
      <c r="U10" s="13">
        <v>2</v>
      </c>
      <c r="V10" s="13">
        <v>1</v>
      </c>
      <c r="W10" s="9">
        <v>21</v>
      </c>
      <c r="X10" s="9">
        <f t="shared" si="0"/>
        <v>14</v>
      </c>
      <c r="Y10" s="10">
        <f t="shared" si="1"/>
        <v>0.66666666666666663</v>
      </c>
      <c r="Z10" s="7" t="s">
        <v>375</v>
      </c>
      <c r="AA10" s="7" t="s">
        <v>439</v>
      </c>
      <c r="AB10">
        <v>5022</v>
      </c>
      <c r="AC10" t="s">
        <v>253</v>
      </c>
    </row>
    <row r="11" spans="1:29" ht="150" customHeight="1" x14ac:dyDescent="0.2">
      <c r="A11" s="7" t="s">
        <v>77</v>
      </c>
      <c r="B11" s="7" t="s">
        <v>69</v>
      </c>
      <c r="C11" s="7" t="s">
        <v>78</v>
      </c>
      <c r="D11" s="7" t="s">
        <v>79</v>
      </c>
      <c r="E11" s="7" t="s">
        <v>80</v>
      </c>
      <c r="F11" s="8" t="s">
        <v>81</v>
      </c>
      <c r="G11" s="8" t="s">
        <v>82</v>
      </c>
      <c r="H11" s="8" t="s">
        <v>65</v>
      </c>
      <c r="I11" s="9" t="s">
        <v>83</v>
      </c>
      <c r="J11" s="9" t="s">
        <v>41</v>
      </c>
      <c r="K11" s="9">
        <v>155</v>
      </c>
      <c r="L11" s="9">
        <v>37.826999999999998</v>
      </c>
      <c r="M11" s="9"/>
      <c r="N11" s="9">
        <v>5024</v>
      </c>
      <c r="O11" s="9">
        <v>1.3169999999999999E-2</v>
      </c>
      <c r="P11" s="13">
        <v>2</v>
      </c>
      <c r="Q11" s="13">
        <v>2</v>
      </c>
      <c r="R11" s="13">
        <v>2</v>
      </c>
      <c r="S11" s="13">
        <v>2</v>
      </c>
      <c r="T11" s="18">
        <v>3</v>
      </c>
      <c r="U11" s="13">
        <v>2</v>
      </c>
      <c r="V11" s="13">
        <v>2</v>
      </c>
      <c r="W11" s="9">
        <v>21</v>
      </c>
      <c r="X11" s="9">
        <f t="shared" si="0"/>
        <v>15</v>
      </c>
      <c r="Y11" s="10">
        <f t="shared" si="1"/>
        <v>0.7142857142857143</v>
      </c>
      <c r="Z11" s="7" t="s">
        <v>320</v>
      </c>
      <c r="AA11" s="7" t="s">
        <v>440</v>
      </c>
      <c r="AB11">
        <v>5024</v>
      </c>
      <c r="AC11" t="s">
        <v>254</v>
      </c>
    </row>
    <row r="12" spans="1:29" ht="150" customHeight="1" x14ac:dyDescent="0.2">
      <c r="A12" s="7" t="s">
        <v>85</v>
      </c>
      <c r="B12" s="7" t="s">
        <v>69</v>
      </c>
      <c r="C12" s="7" t="s">
        <v>78</v>
      </c>
      <c r="D12" s="7" t="s">
        <v>86</v>
      </c>
      <c r="E12" s="7" t="s">
        <v>87</v>
      </c>
      <c r="F12" s="8" t="s">
        <v>88</v>
      </c>
      <c r="G12" s="8" t="s">
        <v>89</v>
      </c>
      <c r="H12" s="8" t="s">
        <v>90</v>
      </c>
      <c r="I12" s="9" t="s">
        <v>91</v>
      </c>
      <c r="J12" s="9" t="s">
        <v>41</v>
      </c>
      <c r="K12" s="9">
        <v>141</v>
      </c>
      <c r="L12" s="9">
        <v>37.210999999999999</v>
      </c>
      <c r="M12" s="9"/>
      <c r="N12" s="9">
        <v>5143</v>
      </c>
      <c r="O12" s="9">
        <v>1.3339999999999999E-2</v>
      </c>
      <c r="P12" s="18">
        <v>3</v>
      </c>
      <c r="Q12" s="13">
        <v>2</v>
      </c>
      <c r="R12" s="13">
        <v>2</v>
      </c>
      <c r="S12" s="13">
        <v>2</v>
      </c>
      <c r="T12" s="18">
        <v>3</v>
      </c>
      <c r="U12" s="13">
        <v>2</v>
      </c>
      <c r="V12" s="13">
        <v>2</v>
      </c>
      <c r="W12" s="9">
        <v>21</v>
      </c>
      <c r="X12" s="9">
        <f t="shared" si="0"/>
        <v>16</v>
      </c>
      <c r="Y12" s="10">
        <f t="shared" si="1"/>
        <v>0.76190476190476186</v>
      </c>
      <c r="Z12" s="7" t="s">
        <v>376</v>
      </c>
      <c r="AA12" s="7" t="s">
        <v>441</v>
      </c>
      <c r="AB12">
        <v>5143</v>
      </c>
      <c r="AC12" t="s">
        <v>255</v>
      </c>
    </row>
    <row r="13" spans="1:29" ht="150" customHeight="1" x14ac:dyDescent="0.2">
      <c r="A13" s="7" t="s">
        <v>93</v>
      </c>
      <c r="B13" s="7" t="s">
        <v>69</v>
      </c>
      <c r="C13" s="7" t="s">
        <v>78</v>
      </c>
      <c r="D13" s="7" t="s">
        <v>94</v>
      </c>
      <c r="E13" s="7" t="s">
        <v>95</v>
      </c>
      <c r="F13" s="8" t="s">
        <v>96</v>
      </c>
      <c r="G13" s="8" t="s">
        <v>97</v>
      </c>
      <c r="H13" s="8" t="s">
        <v>98</v>
      </c>
      <c r="I13" s="9" t="s">
        <v>99</v>
      </c>
      <c r="J13" s="9" t="s">
        <v>41</v>
      </c>
      <c r="K13" s="9">
        <v>126</v>
      </c>
      <c r="L13" s="9">
        <v>33.731999999999999</v>
      </c>
      <c r="M13" s="9"/>
      <c r="N13" s="9">
        <v>4401</v>
      </c>
      <c r="O13" s="9">
        <v>1.222E-2</v>
      </c>
      <c r="P13" s="18">
        <v>3</v>
      </c>
      <c r="Q13" s="13">
        <v>2</v>
      </c>
      <c r="R13" s="13">
        <v>2</v>
      </c>
      <c r="S13" s="13">
        <v>2</v>
      </c>
      <c r="T13" s="18">
        <v>3</v>
      </c>
      <c r="U13" s="13">
        <v>3</v>
      </c>
      <c r="V13" s="13">
        <v>2</v>
      </c>
      <c r="W13" s="9">
        <v>21</v>
      </c>
      <c r="X13" s="9">
        <f t="shared" si="0"/>
        <v>17</v>
      </c>
      <c r="Y13" s="10">
        <f t="shared" si="1"/>
        <v>0.80952380952380953</v>
      </c>
      <c r="Z13" s="7" t="s">
        <v>377</v>
      </c>
      <c r="AA13" s="7" t="s">
        <v>256</v>
      </c>
      <c r="AB13">
        <v>4401</v>
      </c>
      <c r="AC13" t="s">
        <v>257</v>
      </c>
    </row>
    <row r="14" spans="1:29" ht="150" customHeight="1" x14ac:dyDescent="0.2">
      <c r="A14" s="7" t="s">
        <v>101</v>
      </c>
      <c r="B14" s="7" t="s">
        <v>102</v>
      </c>
      <c r="C14" s="7" t="s">
        <v>52</v>
      </c>
      <c r="D14" s="7" t="s">
        <v>44</v>
      </c>
      <c r="E14" s="7" t="s">
        <v>103</v>
      </c>
      <c r="F14" s="8" t="s">
        <v>104</v>
      </c>
      <c r="G14" s="8" t="s">
        <v>105</v>
      </c>
      <c r="H14" s="8" t="s">
        <v>489</v>
      </c>
      <c r="I14" s="9" t="s">
        <v>107</v>
      </c>
      <c r="J14" s="9" t="s">
        <v>41</v>
      </c>
      <c r="K14" s="9">
        <v>131</v>
      </c>
      <c r="L14" s="9">
        <v>28.204999999999998</v>
      </c>
      <c r="M14" s="9"/>
      <c r="N14" s="9">
        <v>5270</v>
      </c>
      <c r="O14" s="9">
        <v>1.3559999999999999E-2</v>
      </c>
      <c r="P14" s="18">
        <v>3</v>
      </c>
      <c r="Q14" s="13">
        <v>2</v>
      </c>
      <c r="R14" s="13">
        <v>2</v>
      </c>
      <c r="S14" s="13">
        <v>2</v>
      </c>
      <c r="T14" s="13">
        <v>2</v>
      </c>
      <c r="U14" s="13">
        <v>2</v>
      </c>
      <c r="V14" s="13">
        <v>2</v>
      </c>
      <c r="W14" s="9">
        <v>21</v>
      </c>
      <c r="X14" s="9">
        <f t="shared" si="0"/>
        <v>15</v>
      </c>
      <c r="Y14" s="10">
        <f t="shared" si="1"/>
        <v>0.7142857142857143</v>
      </c>
      <c r="Z14" s="7" t="s">
        <v>378</v>
      </c>
      <c r="AA14" s="7" t="s">
        <v>258</v>
      </c>
      <c r="AB14">
        <v>5270</v>
      </c>
      <c r="AC14" t="s">
        <v>259</v>
      </c>
    </row>
    <row r="15" spans="1:29" ht="150" customHeight="1" x14ac:dyDescent="0.2">
      <c r="A15" s="7" t="s">
        <v>109</v>
      </c>
      <c r="B15" s="7" t="s">
        <v>102</v>
      </c>
      <c r="C15" s="7" t="s">
        <v>78</v>
      </c>
      <c r="D15" s="7" t="s">
        <v>110</v>
      </c>
      <c r="E15" s="7" t="s">
        <v>111</v>
      </c>
      <c r="F15" s="8" t="s">
        <v>112</v>
      </c>
      <c r="G15" s="8" t="s">
        <v>113</v>
      </c>
      <c r="H15" s="8" t="s">
        <v>114</v>
      </c>
      <c r="I15" s="9" t="s">
        <v>115</v>
      </c>
      <c r="J15" s="9" t="s">
        <v>41</v>
      </c>
      <c r="K15" s="9">
        <v>137</v>
      </c>
      <c r="L15" s="9">
        <v>35.161000000000001</v>
      </c>
      <c r="M15" s="9"/>
      <c r="N15" s="9">
        <v>5902</v>
      </c>
      <c r="O15" s="9">
        <v>1.5129999999999999E-2</v>
      </c>
      <c r="P15" s="18">
        <v>3</v>
      </c>
      <c r="Q15" s="13">
        <v>2</v>
      </c>
      <c r="R15" s="13">
        <v>2</v>
      </c>
      <c r="S15" s="13">
        <v>2</v>
      </c>
      <c r="T15" s="18">
        <v>3</v>
      </c>
      <c r="U15" s="13">
        <v>2</v>
      </c>
      <c r="V15" s="13">
        <v>2</v>
      </c>
      <c r="W15" s="9">
        <v>21</v>
      </c>
      <c r="X15" s="9">
        <f t="shared" si="0"/>
        <v>16</v>
      </c>
      <c r="Y15" s="10">
        <f t="shared" si="1"/>
        <v>0.76190476190476186</v>
      </c>
      <c r="Z15" s="7" t="s">
        <v>379</v>
      </c>
      <c r="AA15" s="7" t="s">
        <v>260</v>
      </c>
      <c r="AB15">
        <v>5902</v>
      </c>
      <c r="AC15" t="s">
        <v>261</v>
      </c>
    </row>
    <row r="16" spans="1:29" ht="150" customHeight="1" x14ac:dyDescent="0.2">
      <c r="A16" s="7" t="s">
        <v>117</v>
      </c>
      <c r="B16" s="7" t="s">
        <v>102</v>
      </c>
      <c r="C16" s="7" t="s">
        <v>78</v>
      </c>
      <c r="D16" s="7" t="s">
        <v>118</v>
      </c>
      <c r="E16" s="7" t="s">
        <v>119</v>
      </c>
      <c r="F16" s="8" t="s">
        <v>120</v>
      </c>
      <c r="G16" s="8" t="s">
        <v>121</v>
      </c>
      <c r="H16" s="8" t="s">
        <v>122</v>
      </c>
      <c r="I16" s="9" t="s">
        <v>123</v>
      </c>
      <c r="J16" s="9" t="s">
        <v>41</v>
      </c>
      <c r="K16" s="9">
        <v>155</v>
      </c>
      <c r="L16" s="9">
        <v>43.405000000000001</v>
      </c>
      <c r="M16" s="9"/>
      <c r="N16" s="9">
        <v>5378</v>
      </c>
      <c r="O16" s="9">
        <v>1.388E-2</v>
      </c>
      <c r="P16" s="13">
        <v>2</v>
      </c>
      <c r="Q16" s="13">
        <v>2</v>
      </c>
      <c r="R16" s="13">
        <v>2</v>
      </c>
      <c r="S16" s="13">
        <v>2</v>
      </c>
      <c r="T16" s="13">
        <v>2</v>
      </c>
      <c r="U16" s="13">
        <v>3</v>
      </c>
      <c r="V16" s="13">
        <v>2</v>
      </c>
      <c r="W16" s="9">
        <v>21</v>
      </c>
      <c r="X16" s="9">
        <f t="shared" si="0"/>
        <v>15</v>
      </c>
      <c r="Y16" s="10">
        <f t="shared" si="1"/>
        <v>0.7142857142857143</v>
      </c>
      <c r="Z16" s="7" t="s">
        <v>318</v>
      </c>
      <c r="AA16" s="7" t="s">
        <v>442</v>
      </c>
      <c r="AB16">
        <v>5378</v>
      </c>
      <c r="AC16" t="s">
        <v>262</v>
      </c>
    </row>
    <row r="17" spans="1:29" ht="150" customHeight="1" x14ac:dyDescent="0.2">
      <c r="A17" s="7" t="s">
        <v>125</v>
      </c>
      <c r="B17" s="7" t="s">
        <v>102</v>
      </c>
      <c r="C17" s="7" t="s">
        <v>78</v>
      </c>
      <c r="D17" s="7" t="s">
        <v>126</v>
      </c>
      <c r="E17" s="7" t="s">
        <v>127</v>
      </c>
      <c r="F17" s="8" t="s">
        <v>128</v>
      </c>
      <c r="G17" s="8" t="s">
        <v>129</v>
      </c>
      <c r="H17" s="8" t="s">
        <v>130</v>
      </c>
      <c r="I17" s="9" t="s">
        <v>131</v>
      </c>
      <c r="J17" s="9" t="s">
        <v>41</v>
      </c>
      <c r="K17" s="9">
        <v>153</v>
      </c>
      <c r="L17" s="9">
        <v>39.213999999999999</v>
      </c>
      <c r="M17" s="9"/>
      <c r="N17" s="9">
        <v>5173</v>
      </c>
      <c r="O17" s="9">
        <v>1.3310000000000001E-2</v>
      </c>
      <c r="P17" s="13">
        <v>2</v>
      </c>
      <c r="Q17" s="13">
        <v>2</v>
      </c>
      <c r="R17" s="13">
        <v>2</v>
      </c>
      <c r="S17" s="13">
        <v>2</v>
      </c>
      <c r="T17" s="13">
        <v>2</v>
      </c>
      <c r="U17" s="13">
        <v>2</v>
      </c>
      <c r="V17" s="13">
        <v>1</v>
      </c>
      <c r="W17" s="9">
        <v>21</v>
      </c>
      <c r="X17" s="9">
        <f t="shared" si="0"/>
        <v>13</v>
      </c>
      <c r="Y17" s="10">
        <f t="shared" si="1"/>
        <v>0.61904761904761907</v>
      </c>
      <c r="Z17" s="7" t="s">
        <v>380</v>
      </c>
      <c r="AA17" s="7" t="s">
        <v>443</v>
      </c>
      <c r="AB17">
        <v>5173</v>
      </c>
      <c r="AC17" t="s">
        <v>263</v>
      </c>
    </row>
    <row r="18" spans="1:29" ht="150" customHeight="1" x14ac:dyDescent="0.2">
      <c r="A18" s="7" t="s">
        <v>133</v>
      </c>
      <c r="B18" s="7" t="s">
        <v>134</v>
      </c>
      <c r="C18" s="7" t="s">
        <v>52</v>
      </c>
      <c r="D18" s="7" t="s">
        <v>44</v>
      </c>
      <c r="E18" s="7" t="s">
        <v>135</v>
      </c>
      <c r="F18" s="8" t="s">
        <v>136</v>
      </c>
      <c r="G18" s="8" t="s">
        <v>137</v>
      </c>
      <c r="H18" s="8" t="s">
        <v>138</v>
      </c>
      <c r="I18" s="9" t="s">
        <v>139</v>
      </c>
      <c r="J18" s="9" t="s">
        <v>41</v>
      </c>
      <c r="K18" s="9">
        <v>148</v>
      </c>
      <c r="L18" s="9">
        <v>36.084000000000003</v>
      </c>
      <c r="M18" s="9"/>
      <c r="N18" s="9">
        <v>5352</v>
      </c>
      <c r="O18" s="9">
        <v>1.417E-2</v>
      </c>
      <c r="P18" s="18">
        <v>3</v>
      </c>
      <c r="Q18" s="13">
        <v>2</v>
      </c>
      <c r="R18" s="13">
        <v>2</v>
      </c>
      <c r="S18" s="13">
        <v>2</v>
      </c>
      <c r="T18" s="13">
        <v>2</v>
      </c>
      <c r="U18" s="13">
        <v>2</v>
      </c>
      <c r="V18" s="13">
        <v>1</v>
      </c>
      <c r="W18" s="9">
        <v>21</v>
      </c>
      <c r="X18" s="9">
        <f t="shared" si="0"/>
        <v>14</v>
      </c>
      <c r="Y18" s="10">
        <f t="shared" si="1"/>
        <v>0.66666666666666663</v>
      </c>
      <c r="Z18" s="7" t="s">
        <v>381</v>
      </c>
      <c r="AA18" s="7" t="s">
        <v>444</v>
      </c>
      <c r="AB18">
        <v>5352</v>
      </c>
      <c r="AC18" t="s">
        <v>264</v>
      </c>
    </row>
    <row r="19" spans="1:29" ht="150" customHeight="1" x14ac:dyDescent="0.2">
      <c r="A19" s="7" t="s">
        <v>141</v>
      </c>
      <c r="B19" s="7" t="s">
        <v>134</v>
      </c>
      <c r="C19" s="7" t="s">
        <v>78</v>
      </c>
      <c r="D19" s="7" t="s">
        <v>142</v>
      </c>
      <c r="E19" s="7" t="s">
        <v>143</v>
      </c>
      <c r="F19" s="8" t="s">
        <v>144</v>
      </c>
      <c r="G19" s="8" t="s">
        <v>481</v>
      </c>
      <c r="H19" s="8" t="s">
        <v>482</v>
      </c>
      <c r="I19" s="9" t="s">
        <v>147</v>
      </c>
      <c r="J19" s="9" t="s">
        <v>41</v>
      </c>
      <c r="K19" s="9">
        <v>148</v>
      </c>
      <c r="L19" s="9">
        <v>42.128999999999998</v>
      </c>
      <c r="M19" s="9"/>
      <c r="N19" s="9">
        <v>5180</v>
      </c>
      <c r="O19" s="9">
        <v>1.3270000000000001E-2</v>
      </c>
      <c r="P19" s="18">
        <v>3</v>
      </c>
      <c r="Q19" s="13">
        <v>2</v>
      </c>
      <c r="R19" s="13">
        <v>2</v>
      </c>
      <c r="S19" s="13">
        <v>2</v>
      </c>
      <c r="T19" s="13">
        <v>2</v>
      </c>
      <c r="U19" s="13">
        <v>3</v>
      </c>
      <c r="V19" s="13">
        <v>2</v>
      </c>
      <c r="W19" s="9">
        <v>21</v>
      </c>
      <c r="X19" s="9">
        <f t="shared" si="0"/>
        <v>16</v>
      </c>
      <c r="Y19" s="10">
        <f t="shared" si="1"/>
        <v>0.76190476190476186</v>
      </c>
      <c r="Z19" s="7" t="s">
        <v>376</v>
      </c>
      <c r="AA19" s="7" t="s">
        <v>265</v>
      </c>
      <c r="AB19">
        <v>5180</v>
      </c>
      <c r="AC19" t="s">
        <v>266</v>
      </c>
    </row>
    <row r="20" spans="1:29" ht="150" customHeight="1" x14ac:dyDescent="0.2">
      <c r="A20" s="7" t="s">
        <v>149</v>
      </c>
      <c r="B20" s="7" t="s">
        <v>134</v>
      </c>
      <c r="C20" s="7" t="s">
        <v>78</v>
      </c>
      <c r="D20" s="7" t="s">
        <v>150</v>
      </c>
      <c r="E20" s="7" t="s">
        <v>151</v>
      </c>
      <c r="F20" s="8" t="s">
        <v>152</v>
      </c>
      <c r="G20" s="8" t="s">
        <v>153</v>
      </c>
      <c r="H20" s="8" t="s">
        <v>154</v>
      </c>
      <c r="I20" s="9" t="s">
        <v>155</v>
      </c>
      <c r="J20" s="9" t="s">
        <v>41</v>
      </c>
      <c r="K20" s="9">
        <v>139</v>
      </c>
      <c r="L20" s="9">
        <v>30.79</v>
      </c>
      <c r="M20" s="9"/>
      <c r="N20" s="9">
        <v>4770</v>
      </c>
      <c r="O20" s="9">
        <v>1.252E-2</v>
      </c>
      <c r="P20" s="18">
        <v>3</v>
      </c>
      <c r="Q20" s="13">
        <v>2</v>
      </c>
      <c r="R20" s="13">
        <v>2</v>
      </c>
      <c r="S20" s="13">
        <v>1</v>
      </c>
      <c r="T20" s="13">
        <v>2</v>
      </c>
      <c r="U20" s="13">
        <v>2</v>
      </c>
      <c r="V20" s="13">
        <v>2</v>
      </c>
      <c r="W20" s="9">
        <v>21</v>
      </c>
      <c r="X20" s="9">
        <f t="shared" si="0"/>
        <v>14</v>
      </c>
      <c r="Y20" s="10">
        <f t="shared" si="1"/>
        <v>0.66666666666666663</v>
      </c>
      <c r="Z20" s="7" t="s">
        <v>382</v>
      </c>
      <c r="AA20" s="7" t="s">
        <v>267</v>
      </c>
      <c r="AB20">
        <v>4770</v>
      </c>
      <c r="AC20" t="s">
        <v>268</v>
      </c>
    </row>
    <row r="21" spans="1:29" ht="150" customHeight="1" x14ac:dyDescent="0.2">
      <c r="A21" s="7" t="s">
        <v>157</v>
      </c>
      <c r="B21" s="7" t="s">
        <v>134</v>
      </c>
      <c r="C21" s="7" t="s">
        <v>78</v>
      </c>
      <c r="D21" s="7" t="s">
        <v>158</v>
      </c>
      <c r="E21" s="7" t="s">
        <v>159</v>
      </c>
      <c r="F21" s="8"/>
      <c r="G21" s="8"/>
      <c r="H21" s="8" t="s">
        <v>483</v>
      </c>
      <c r="I21" s="9" t="s">
        <v>161</v>
      </c>
      <c r="J21" s="9" t="s">
        <v>41</v>
      </c>
      <c r="K21" s="9">
        <v>141</v>
      </c>
      <c r="L21" s="9">
        <v>35.235999999999997</v>
      </c>
      <c r="M21" s="9"/>
      <c r="N21" s="9">
        <v>4836</v>
      </c>
      <c r="O21" s="9">
        <v>1.222E-2</v>
      </c>
      <c r="P21" s="18">
        <v>3</v>
      </c>
      <c r="Q21" s="13">
        <v>3</v>
      </c>
      <c r="R21" s="13">
        <v>2</v>
      </c>
      <c r="S21" s="13">
        <v>2</v>
      </c>
      <c r="T21" s="13">
        <v>2</v>
      </c>
      <c r="U21" s="13">
        <v>3</v>
      </c>
      <c r="V21" s="13">
        <v>2</v>
      </c>
      <c r="W21" s="9">
        <v>21</v>
      </c>
      <c r="X21" s="9">
        <f t="shared" si="0"/>
        <v>17</v>
      </c>
      <c r="Y21" s="10">
        <f t="shared" si="1"/>
        <v>0.80952380952380953</v>
      </c>
      <c r="Z21" s="7" t="s">
        <v>383</v>
      </c>
      <c r="AA21" s="7" t="s">
        <v>445</v>
      </c>
      <c r="AB21">
        <v>4836</v>
      </c>
      <c r="AC21" t="s">
        <v>269</v>
      </c>
    </row>
    <row r="22" spans="1:29" ht="150" customHeight="1" x14ac:dyDescent="0.2">
      <c r="A22" s="7" t="s">
        <v>163</v>
      </c>
      <c r="B22" s="7" t="s">
        <v>164</v>
      </c>
      <c r="C22" s="7" t="s">
        <v>52</v>
      </c>
      <c r="D22" s="7" t="s">
        <v>165</v>
      </c>
      <c r="E22" s="7" t="s">
        <v>166</v>
      </c>
      <c r="F22" s="8"/>
      <c r="G22" s="8" t="s">
        <v>474</v>
      </c>
      <c r="H22" s="8" t="s">
        <v>473</v>
      </c>
      <c r="I22" s="9" t="s">
        <v>169</v>
      </c>
      <c r="J22" s="9" t="s">
        <v>41</v>
      </c>
      <c r="K22" s="9">
        <v>136</v>
      </c>
      <c r="L22" s="9">
        <v>29.433</v>
      </c>
      <c r="M22" s="9"/>
      <c r="N22" s="9">
        <v>5619</v>
      </c>
      <c r="O22" s="9">
        <v>1.359E-2</v>
      </c>
      <c r="P22" s="18">
        <v>3</v>
      </c>
      <c r="Q22" s="13">
        <v>2</v>
      </c>
      <c r="R22" s="13">
        <v>1</v>
      </c>
      <c r="S22" s="15" t="s">
        <v>170</v>
      </c>
      <c r="T22" s="15" t="s">
        <v>170</v>
      </c>
      <c r="U22" s="13">
        <v>3</v>
      </c>
      <c r="V22" s="13">
        <v>2</v>
      </c>
      <c r="W22" s="9">
        <v>15</v>
      </c>
      <c r="X22" s="9">
        <f t="shared" si="0"/>
        <v>11</v>
      </c>
      <c r="Y22" s="10">
        <f>IF(X22="","",X22/15)</f>
        <v>0.73333333333333328</v>
      </c>
      <c r="Z22" s="7" t="s">
        <v>385</v>
      </c>
      <c r="AA22" s="7" t="s">
        <v>446</v>
      </c>
      <c r="AB22">
        <v>5619</v>
      </c>
      <c r="AC22" t="s">
        <v>270</v>
      </c>
    </row>
    <row r="23" spans="1:29" ht="150" customHeight="1" x14ac:dyDescent="0.2">
      <c r="A23" s="7" t="s">
        <v>172</v>
      </c>
      <c r="B23" s="7" t="s">
        <v>164</v>
      </c>
      <c r="C23" s="7" t="s">
        <v>78</v>
      </c>
      <c r="D23" s="7" t="s">
        <v>173</v>
      </c>
      <c r="E23" s="7" t="s">
        <v>174</v>
      </c>
      <c r="F23" s="8"/>
      <c r="G23" s="8" t="s">
        <v>488</v>
      </c>
      <c r="H23" s="8" t="s">
        <v>484</v>
      </c>
      <c r="I23" s="9" t="s">
        <v>177</v>
      </c>
      <c r="J23" s="9" t="s">
        <v>41</v>
      </c>
      <c r="K23" s="9">
        <v>139</v>
      </c>
      <c r="L23" s="9">
        <v>33.734000000000002</v>
      </c>
      <c r="M23" s="9"/>
      <c r="N23" s="9">
        <v>5082</v>
      </c>
      <c r="O23" s="9">
        <v>1.257E-2</v>
      </c>
      <c r="P23" s="13">
        <v>3</v>
      </c>
      <c r="Q23" s="13">
        <v>3</v>
      </c>
      <c r="R23" s="13">
        <v>2</v>
      </c>
      <c r="S23" s="15" t="s">
        <v>170</v>
      </c>
      <c r="T23" s="15" t="s">
        <v>170</v>
      </c>
      <c r="U23" s="13">
        <v>3</v>
      </c>
      <c r="V23" s="13">
        <v>2</v>
      </c>
      <c r="W23" s="9">
        <v>15</v>
      </c>
      <c r="X23" s="9">
        <f t="shared" si="0"/>
        <v>13</v>
      </c>
      <c r="Y23" s="10">
        <f>IF(X23="","",X23/15)</f>
        <v>0.8666666666666667</v>
      </c>
      <c r="Z23" s="7" t="s">
        <v>384</v>
      </c>
      <c r="AA23" s="7" t="s">
        <v>271</v>
      </c>
      <c r="AB23">
        <v>5082</v>
      </c>
      <c r="AC23" t="s">
        <v>272</v>
      </c>
    </row>
    <row r="24" spans="1:29" ht="150" customHeight="1" x14ac:dyDescent="0.2">
      <c r="A24" s="7" t="s">
        <v>179</v>
      </c>
      <c r="B24" s="7" t="s">
        <v>164</v>
      </c>
      <c r="C24" s="7" t="s">
        <v>34</v>
      </c>
      <c r="D24" s="7" t="s">
        <v>180</v>
      </c>
      <c r="E24" s="7" t="s">
        <v>181</v>
      </c>
      <c r="F24" s="8"/>
      <c r="G24" s="8" t="s">
        <v>477</v>
      </c>
      <c r="H24" s="8" t="s">
        <v>478</v>
      </c>
      <c r="I24" s="9" t="s">
        <v>184</v>
      </c>
      <c r="J24" s="9" t="s">
        <v>41</v>
      </c>
      <c r="K24" s="9">
        <v>125</v>
      </c>
      <c r="L24" s="9">
        <v>34.136000000000003</v>
      </c>
      <c r="M24" s="9"/>
      <c r="N24" s="9">
        <v>5444</v>
      </c>
      <c r="O24" s="9">
        <v>1.3140000000000001E-2</v>
      </c>
      <c r="P24" s="13">
        <v>3</v>
      </c>
      <c r="Q24" s="13">
        <v>3</v>
      </c>
      <c r="R24" s="13">
        <v>2</v>
      </c>
      <c r="S24" s="15" t="s">
        <v>170</v>
      </c>
      <c r="T24" s="15" t="s">
        <v>170</v>
      </c>
      <c r="U24" s="13">
        <v>3</v>
      </c>
      <c r="V24" s="13">
        <v>2</v>
      </c>
      <c r="W24" s="9">
        <v>15</v>
      </c>
      <c r="X24" s="9">
        <f t="shared" si="0"/>
        <v>13</v>
      </c>
      <c r="Y24" s="10">
        <f>IF(X24="","",X24/15)</f>
        <v>0.8666666666666667</v>
      </c>
      <c r="Z24" s="7" t="s">
        <v>386</v>
      </c>
      <c r="AA24" s="7" t="s">
        <v>447</v>
      </c>
      <c r="AB24">
        <v>5444</v>
      </c>
      <c r="AC24" t="s">
        <v>273</v>
      </c>
    </row>
    <row r="25" spans="1:29" ht="150" customHeight="1" x14ac:dyDescent="0.2">
      <c r="A25" s="7" t="s">
        <v>186</v>
      </c>
      <c r="B25" s="7" t="s">
        <v>187</v>
      </c>
      <c r="C25" s="7" t="s">
        <v>78</v>
      </c>
      <c r="D25" s="7" t="s">
        <v>188</v>
      </c>
      <c r="E25" s="7" t="s">
        <v>189</v>
      </c>
      <c r="F25" s="8"/>
      <c r="G25" s="8" t="s">
        <v>487</v>
      </c>
      <c r="H25" s="8" t="s">
        <v>479</v>
      </c>
      <c r="I25" s="9" t="s">
        <v>192</v>
      </c>
      <c r="J25" s="9" t="s">
        <v>41</v>
      </c>
      <c r="K25" s="9">
        <v>139</v>
      </c>
      <c r="L25" s="9">
        <v>25.437000000000001</v>
      </c>
      <c r="M25" s="9"/>
      <c r="N25" s="9">
        <v>6208</v>
      </c>
      <c r="O25" s="9">
        <v>1.5089999999999999E-2</v>
      </c>
      <c r="P25" s="18">
        <v>3</v>
      </c>
      <c r="Q25" s="13">
        <v>1</v>
      </c>
      <c r="R25" s="13">
        <v>1</v>
      </c>
      <c r="S25" s="15" t="s">
        <v>170</v>
      </c>
      <c r="T25" s="15" t="s">
        <v>170</v>
      </c>
      <c r="U25" s="13">
        <v>2</v>
      </c>
      <c r="V25" s="13">
        <v>1</v>
      </c>
      <c r="W25" s="9">
        <v>15</v>
      </c>
      <c r="X25" s="9">
        <f t="shared" si="0"/>
        <v>8</v>
      </c>
      <c r="Y25" s="10">
        <f>IF(X25="","",X25/15)</f>
        <v>0.53333333333333333</v>
      </c>
      <c r="Z25" s="7" t="s">
        <v>387</v>
      </c>
      <c r="AA25" s="7" t="s">
        <v>274</v>
      </c>
      <c r="AB25">
        <v>6208</v>
      </c>
      <c r="AC25" t="s">
        <v>275</v>
      </c>
    </row>
    <row r="27" spans="1:29" x14ac:dyDescent="0.2">
      <c r="C27" s="20" t="s">
        <v>194</v>
      </c>
      <c r="E27" s="6" t="s">
        <v>195</v>
      </c>
      <c r="X27" s="25">
        <f>IFERROR(AVERAGE(X6:X21),"")</f>
        <v>14.9375</v>
      </c>
      <c r="Y27" s="25"/>
    </row>
    <row r="28" spans="1:29" x14ac:dyDescent="0.2">
      <c r="C28" s="20" t="s">
        <v>196</v>
      </c>
      <c r="E28" s="6" t="s">
        <v>197</v>
      </c>
      <c r="X28" s="25">
        <f>IFERROR(AVERAGE(X22:X25),"")</f>
        <v>11.25</v>
      </c>
      <c r="Y28" s="25"/>
    </row>
    <row r="29" spans="1:29" x14ac:dyDescent="0.2">
      <c r="C29" s="20" t="s">
        <v>198</v>
      </c>
      <c r="E29" s="6" t="s">
        <v>198</v>
      </c>
      <c r="X29" s="25"/>
      <c r="Y29" s="26">
        <f>IFERROR(AVERAGE(Y6:Y25),"")</f>
        <v>0.71904761904761905</v>
      </c>
    </row>
    <row r="30" spans="1:29" ht="16" x14ac:dyDescent="0.2">
      <c r="C30" s="17" t="s">
        <v>276</v>
      </c>
    </row>
    <row r="31" spans="1:29" ht="44" customHeight="1" x14ac:dyDescent="0.2">
      <c r="C31" s="31"/>
      <c r="D31" s="29"/>
      <c r="E31" s="29"/>
      <c r="F31" s="29"/>
      <c r="G31" s="29"/>
      <c r="H31" s="29"/>
      <c r="I31" s="29"/>
      <c r="J31" s="29"/>
      <c r="K31" s="29"/>
      <c r="L31" s="29"/>
      <c r="M31" s="29"/>
      <c r="N31" s="29"/>
      <c r="O31" s="29"/>
      <c r="P31" s="29"/>
      <c r="Q31" s="29"/>
      <c r="R31" s="29"/>
      <c r="S31" s="29"/>
      <c r="T31" s="29"/>
      <c r="U31" s="29"/>
      <c r="V31" s="29"/>
      <c r="W31" s="29"/>
      <c r="X31" s="29"/>
      <c r="Y31" s="29"/>
    </row>
    <row r="33" spans="3:25" ht="44" customHeight="1" x14ac:dyDescent="0.2">
      <c r="C33" s="31"/>
      <c r="D33" s="29"/>
      <c r="E33" s="29"/>
      <c r="F33" s="29"/>
      <c r="G33" s="29"/>
      <c r="H33" s="29"/>
      <c r="I33" s="29"/>
      <c r="J33" s="29"/>
      <c r="K33" s="29"/>
      <c r="L33" s="29"/>
      <c r="M33" s="29"/>
      <c r="N33" s="29"/>
      <c r="O33" s="29"/>
      <c r="P33" s="29"/>
      <c r="Q33" s="29"/>
      <c r="R33" s="29"/>
      <c r="S33" s="29"/>
      <c r="T33" s="29"/>
      <c r="U33" s="29"/>
      <c r="V33" s="29"/>
      <c r="W33" s="29"/>
      <c r="X33" s="29"/>
      <c r="Y33" s="29"/>
    </row>
    <row r="35" spans="3:25" ht="44" customHeight="1" x14ac:dyDescent="0.2">
      <c r="C35" s="31"/>
      <c r="D35" s="29"/>
      <c r="E35" s="29"/>
      <c r="F35" s="29"/>
      <c r="G35" s="29"/>
      <c r="H35" s="29"/>
      <c r="I35" s="29"/>
      <c r="J35" s="29"/>
      <c r="K35" s="29"/>
      <c r="L35" s="29"/>
      <c r="M35" s="29"/>
      <c r="N35" s="29"/>
      <c r="O35" s="29"/>
      <c r="P35" s="29"/>
      <c r="Q35" s="29"/>
      <c r="R35" s="29"/>
      <c r="S35" s="29"/>
      <c r="T35" s="29"/>
      <c r="U35" s="29"/>
      <c r="V35" s="29"/>
      <c r="W35" s="29"/>
      <c r="X35" s="29"/>
      <c r="Y35" s="29"/>
    </row>
    <row r="37" spans="3:25" ht="44" customHeight="1" x14ac:dyDescent="0.2">
      <c r="C37" s="31"/>
      <c r="D37" s="29"/>
      <c r="E37" s="29"/>
      <c r="F37" s="29"/>
      <c r="G37" s="29"/>
      <c r="H37" s="29"/>
      <c r="I37" s="29"/>
      <c r="J37" s="29"/>
      <c r="K37" s="29"/>
      <c r="L37" s="29"/>
      <c r="M37" s="29"/>
      <c r="N37" s="29"/>
      <c r="O37" s="29"/>
      <c r="P37" s="29"/>
      <c r="Q37" s="29"/>
      <c r="R37" s="29"/>
      <c r="S37" s="29"/>
      <c r="T37" s="29"/>
      <c r="U37" s="29"/>
      <c r="V37" s="29"/>
      <c r="W37" s="29"/>
      <c r="X37" s="29"/>
      <c r="Y37" s="29"/>
    </row>
    <row r="39" spans="3:25" ht="44" customHeight="1" x14ac:dyDescent="0.2">
      <c r="C39" s="31"/>
      <c r="D39" s="29"/>
      <c r="E39" s="29"/>
      <c r="F39" s="29"/>
      <c r="G39" s="29"/>
      <c r="H39" s="29"/>
      <c r="I39" s="29"/>
      <c r="J39" s="29"/>
      <c r="K39" s="29"/>
      <c r="L39" s="29"/>
      <c r="M39" s="29"/>
      <c r="N39" s="29"/>
      <c r="O39" s="29"/>
      <c r="P39" s="29"/>
      <c r="Q39" s="29"/>
      <c r="R39" s="29"/>
      <c r="S39" s="29"/>
      <c r="T39" s="29"/>
      <c r="U39" s="29"/>
      <c r="V39" s="29"/>
      <c r="W39" s="29"/>
      <c r="X39" s="29"/>
      <c r="Y39" s="29"/>
    </row>
  </sheetData>
  <mergeCells count="8">
    <mergeCell ref="C31:Y31"/>
    <mergeCell ref="C39:Y39"/>
    <mergeCell ref="C35:Y35"/>
    <mergeCell ref="I4:O4"/>
    <mergeCell ref="F4:H4"/>
    <mergeCell ref="P4:Y4"/>
    <mergeCell ref="C33:Y33"/>
    <mergeCell ref="C37:Y3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39"/>
  <sheetViews>
    <sheetView zoomScale="92" workbookViewId="0">
      <pane xSplit="5" ySplit="5" topLeftCell="M20" activePane="bottomRight" state="frozen"/>
      <selection pane="topRight"/>
      <selection pane="bottomLeft"/>
      <selection pane="bottomRight"/>
    </sheetView>
  </sheetViews>
  <sheetFormatPr baseColWidth="10" defaultColWidth="8.83203125" defaultRowHeight="15" x14ac:dyDescent="0.2"/>
  <cols>
    <col min="1" max="1" width="7" customWidth="1"/>
    <col min="2" max="2" width="22" customWidth="1"/>
    <col min="3" max="3" width="10" customWidth="1"/>
    <col min="4" max="4" width="18" customWidth="1"/>
    <col min="5" max="5" width="42" customWidth="1"/>
    <col min="6" max="6" width="28" customWidth="1"/>
    <col min="7" max="7" width="44" customWidth="1"/>
    <col min="8" max="8" width="40" customWidth="1"/>
    <col min="9" max="9" width="34" customWidth="1"/>
    <col min="10" max="10" width="20" customWidth="1"/>
    <col min="11" max="11" width="7" customWidth="1"/>
    <col min="12" max="12" width="8" customWidth="1"/>
    <col min="13" max="14" width="9" customWidth="1"/>
    <col min="15" max="15" width="8" customWidth="1"/>
    <col min="16" max="22" width="4" customWidth="1"/>
    <col min="23" max="25" width="7" customWidth="1"/>
    <col min="26" max="26" width="76" customWidth="1"/>
    <col min="27" max="27" width="92" customWidth="1"/>
    <col min="28" max="28" width="13" customWidth="1"/>
    <col min="29" max="29" width="26" customWidth="1"/>
  </cols>
  <sheetData>
    <row r="1" spans="1:29" ht="19" customHeight="1" x14ac:dyDescent="0.25">
      <c r="A1" s="1" t="s">
        <v>471</v>
      </c>
    </row>
    <row r="2" spans="1:29" x14ac:dyDescent="0.2">
      <c r="A2" s="2"/>
    </row>
    <row r="4" spans="1:29" x14ac:dyDescent="0.2">
      <c r="F4" s="28" t="s">
        <v>0</v>
      </c>
      <c r="G4" s="29"/>
      <c r="H4" s="29"/>
      <c r="I4" s="30" t="s">
        <v>1</v>
      </c>
      <c r="J4" s="29"/>
      <c r="K4" s="29"/>
      <c r="L4" s="29"/>
      <c r="M4" s="29"/>
      <c r="N4" s="29"/>
      <c r="O4" s="29"/>
      <c r="P4" s="30" t="s">
        <v>2</v>
      </c>
      <c r="Q4" s="29"/>
      <c r="R4" s="29"/>
      <c r="S4" s="29"/>
      <c r="T4" s="29"/>
      <c r="U4" s="29"/>
      <c r="V4" s="29"/>
      <c r="W4" s="29"/>
      <c r="X4" s="29"/>
      <c r="Y4" s="29"/>
    </row>
    <row r="5" spans="1:29" ht="42" customHeight="1" x14ac:dyDescent="0.2">
      <c r="A5" s="3" t="s">
        <v>3</v>
      </c>
      <c r="B5" s="3" t="s">
        <v>4</v>
      </c>
      <c r="C5" s="3" t="s">
        <v>5</v>
      </c>
      <c r="D5" s="3" t="s">
        <v>6</v>
      </c>
      <c r="E5" s="3" t="s">
        <v>7</v>
      </c>
      <c r="F5" s="3" t="s">
        <v>8</v>
      </c>
      <c r="G5" s="3" t="s">
        <v>9</v>
      </c>
      <c r="H5" s="3" t="s">
        <v>10</v>
      </c>
      <c r="I5" s="3" t="s">
        <v>11</v>
      </c>
      <c r="J5" s="3" t="s">
        <v>12</v>
      </c>
      <c r="K5" s="3" t="s">
        <v>13</v>
      </c>
      <c r="L5" s="3" t="s">
        <v>14</v>
      </c>
      <c r="M5" s="3" t="s">
        <v>277</v>
      </c>
      <c r="N5" s="3" t="s">
        <v>278</v>
      </c>
      <c r="O5" s="3" t="s">
        <v>17</v>
      </c>
      <c r="P5" s="3" t="s">
        <v>18</v>
      </c>
      <c r="Q5" s="3" t="s">
        <v>19</v>
      </c>
      <c r="R5" s="3" t="s">
        <v>20</v>
      </c>
      <c r="S5" s="3" t="s">
        <v>21</v>
      </c>
      <c r="T5" s="3" t="s">
        <v>22</v>
      </c>
      <c r="U5" s="3" t="s">
        <v>23</v>
      </c>
      <c r="V5" s="3" t="s">
        <v>24</v>
      </c>
      <c r="W5" s="3" t="s">
        <v>25</v>
      </c>
      <c r="X5" s="3" t="s">
        <v>26</v>
      </c>
      <c r="Y5" s="3" t="s">
        <v>27</v>
      </c>
      <c r="Z5" s="3" t="s">
        <v>28</v>
      </c>
      <c r="AA5" s="3" t="s">
        <v>29</v>
      </c>
      <c r="AB5" s="20" t="s">
        <v>30</v>
      </c>
      <c r="AC5" s="20" t="s">
        <v>31</v>
      </c>
    </row>
    <row r="6" spans="1:29" ht="150" customHeight="1" x14ac:dyDescent="0.2">
      <c r="A6" s="7" t="s">
        <v>32</v>
      </c>
      <c r="B6" s="7" t="s">
        <v>33</v>
      </c>
      <c r="C6" s="7" t="s">
        <v>34</v>
      </c>
      <c r="D6" s="7" t="s">
        <v>35</v>
      </c>
      <c r="E6" s="7" t="s">
        <v>36</v>
      </c>
      <c r="F6" s="8" t="s">
        <v>37</v>
      </c>
      <c r="G6" s="8" t="s">
        <v>38</v>
      </c>
      <c r="H6" s="8" t="s">
        <v>490</v>
      </c>
      <c r="I6" s="9" t="s">
        <v>279</v>
      </c>
      <c r="J6" s="9" t="s">
        <v>41</v>
      </c>
      <c r="K6" s="9">
        <v>187</v>
      </c>
      <c r="L6" s="9">
        <v>9.1440000000000001</v>
      </c>
      <c r="M6" s="9">
        <v>3</v>
      </c>
      <c r="N6" s="9">
        <v>13</v>
      </c>
      <c r="O6" s="9">
        <v>1.576E-2</v>
      </c>
      <c r="P6" s="13">
        <v>2</v>
      </c>
      <c r="Q6" s="13">
        <v>1</v>
      </c>
      <c r="R6" s="13">
        <v>2</v>
      </c>
      <c r="S6" s="13">
        <v>2</v>
      </c>
      <c r="T6" s="18">
        <v>3</v>
      </c>
      <c r="U6" s="13">
        <v>2</v>
      </c>
      <c r="V6" s="13">
        <v>2</v>
      </c>
      <c r="W6" s="9">
        <v>21</v>
      </c>
      <c r="X6" s="9">
        <f t="shared" ref="X6:X25" si="0">IF(COUNT(P6:V6)=0,"",SUM(P6:V6))</f>
        <v>14</v>
      </c>
      <c r="Y6" s="10">
        <f t="shared" ref="Y6:Y21" si="1">IF(X6="","",X6/21)</f>
        <v>0.66666666666666663</v>
      </c>
      <c r="Z6" s="7" t="s">
        <v>321</v>
      </c>
      <c r="AA6" s="7" t="s">
        <v>448</v>
      </c>
      <c r="AB6">
        <v>6571</v>
      </c>
      <c r="AC6" t="s">
        <v>280</v>
      </c>
    </row>
    <row r="7" spans="1:29" ht="150" customHeight="1" x14ac:dyDescent="0.2">
      <c r="A7" s="7" t="s">
        <v>43</v>
      </c>
      <c r="B7" s="7" t="s">
        <v>33</v>
      </c>
      <c r="C7" s="7" t="s">
        <v>34</v>
      </c>
      <c r="D7" s="7" t="s">
        <v>44</v>
      </c>
      <c r="E7" s="7" t="s">
        <v>45</v>
      </c>
      <c r="F7" s="8" t="s">
        <v>46</v>
      </c>
      <c r="G7" s="8" t="s">
        <v>47</v>
      </c>
      <c r="H7" s="8" t="s">
        <v>48</v>
      </c>
      <c r="I7" s="9" t="s">
        <v>281</v>
      </c>
      <c r="J7" s="9" t="s">
        <v>41</v>
      </c>
      <c r="K7" s="9">
        <v>183</v>
      </c>
      <c r="L7" s="9">
        <v>4.5739999999999998</v>
      </c>
      <c r="M7" s="9">
        <v>3</v>
      </c>
      <c r="N7" s="9">
        <v>14</v>
      </c>
      <c r="O7" s="9">
        <v>1.4370000000000001E-2</v>
      </c>
      <c r="P7" s="13">
        <v>2</v>
      </c>
      <c r="Q7" s="13">
        <v>2</v>
      </c>
      <c r="R7" s="13">
        <v>2</v>
      </c>
      <c r="S7" s="13">
        <v>2</v>
      </c>
      <c r="T7" s="18">
        <v>3</v>
      </c>
      <c r="U7" s="13">
        <v>2</v>
      </c>
      <c r="V7" s="13">
        <v>2</v>
      </c>
      <c r="W7" s="9">
        <v>21</v>
      </c>
      <c r="X7" s="9">
        <f t="shared" si="0"/>
        <v>15</v>
      </c>
      <c r="Y7" s="10">
        <f t="shared" si="1"/>
        <v>0.7142857142857143</v>
      </c>
      <c r="Z7" s="7" t="s">
        <v>322</v>
      </c>
      <c r="AA7" s="7" t="s">
        <v>449</v>
      </c>
      <c r="AB7">
        <v>6071</v>
      </c>
      <c r="AC7" t="s">
        <v>282</v>
      </c>
    </row>
    <row r="8" spans="1:29" ht="150" customHeight="1" x14ac:dyDescent="0.2">
      <c r="A8" s="7" t="s">
        <v>51</v>
      </c>
      <c r="B8" s="7" t="s">
        <v>33</v>
      </c>
      <c r="C8" s="7" t="s">
        <v>52</v>
      </c>
      <c r="D8" s="7" t="s">
        <v>53</v>
      </c>
      <c r="E8" s="7" t="s">
        <v>54</v>
      </c>
      <c r="F8" s="8" t="s">
        <v>55</v>
      </c>
      <c r="G8" s="8" t="s">
        <v>56</v>
      </c>
      <c r="H8" s="8" t="s">
        <v>57</v>
      </c>
      <c r="I8" s="9" t="s">
        <v>58</v>
      </c>
      <c r="J8" s="9" t="s">
        <v>41</v>
      </c>
      <c r="K8" s="9">
        <v>172</v>
      </c>
      <c r="L8" s="9">
        <v>3.1869999999999998</v>
      </c>
      <c r="M8" s="9">
        <v>1</v>
      </c>
      <c r="N8" s="9">
        <v>6</v>
      </c>
      <c r="O8" s="9">
        <v>8.3599999999999994E-3</v>
      </c>
      <c r="P8" s="13">
        <v>2</v>
      </c>
      <c r="Q8" s="13">
        <v>2</v>
      </c>
      <c r="R8" s="13">
        <v>1</v>
      </c>
      <c r="S8" s="13">
        <v>2</v>
      </c>
      <c r="T8" s="18">
        <v>2</v>
      </c>
      <c r="U8" s="13">
        <v>1</v>
      </c>
      <c r="V8" s="13">
        <v>2</v>
      </c>
      <c r="W8" s="9">
        <v>21</v>
      </c>
      <c r="X8" s="9">
        <f t="shared" si="0"/>
        <v>12</v>
      </c>
      <c r="Y8" s="10">
        <f t="shared" si="1"/>
        <v>0.5714285714285714</v>
      </c>
      <c r="Z8" s="7" t="s">
        <v>323</v>
      </c>
      <c r="AA8" s="7" t="s">
        <v>450</v>
      </c>
      <c r="AB8">
        <v>3343</v>
      </c>
      <c r="AC8" t="s">
        <v>283</v>
      </c>
    </row>
    <row r="9" spans="1:29" ht="150" customHeight="1" x14ac:dyDescent="0.2">
      <c r="A9" s="7" t="s">
        <v>60</v>
      </c>
      <c r="B9" s="7" t="s">
        <v>33</v>
      </c>
      <c r="C9" s="7" t="s">
        <v>52</v>
      </c>
      <c r="D9" s="7" t="s">
        <v>61</v>
      </c>
      <c r="E9" s="7" t="s">
        <v>62</v>
      </c>
      <c r="F9" s="8" t="s">
        <v>63</v>
      </c>
      <c r="G9" s="8" t="s">
        <v>64</v>
      </c>
      <c r="H9" s="8" t="s">
        <v>65</v>
      </c>
      <c r="I9" s="9" t="s">
        <v>284</v>
      </c>
      <c r="J9" s="9" t="s">
        <v>41</v>
      </c>
      <c r="K9" s="9">
        <v>142</v>
      </c>
      <c r="L9" s="9">
        <v>3.625</v>
      </c>
      <c r="M9" s="9">
        <v>2</v>
      </c>
      <c r="N9" s="9">
        <v>11</v>
      </c>
      <c r="O9" s="9">
        <v>1.208E-2</v>
      </c>
      <c r="P9" s="18">
        <v>3</v>
      </c>
      <c r="Q9" s="13">
        <v>2</v>
      </c>
      <c r="R9" s="13">
        <v>1</v>
      </c>
      <c r="S9" s="13">
        <v>2</v>
      </c>
      <c r="T9" s="18">
        <v>3</v>
      </c>
      <c r="U9" s="13">
        <v>2</v>
      </c>
      <c r="V9" s="13">
        <v>2</v>
      </c>
      <c r="W9" s="9">
        <v>21</v>
      </c>
      <c r="X9" s="9">
        <f t="shared" si="0"/>
        <v>15</v>
      </c>
      <c r="Y9" s="10">
        <f t="shared" si="1"/>
        <v>0.7142857142857143</v>
      </c>
      <c r="Z9" s="7" t="s">
        <v>324</v>
      </c>
      <c r="AA9" s="7" t="s">
        <v>451</v>
      </c>
      <c r="AB9">
        <v>5132</v>
      </c>
      <c r="AC9" t="s">
        <v>285</v>
      </c>
    </row>
    <row r="10" spans="1:29" ht="150" customHeight="1" x14ac:dyDescent="0.2">
      <c r="A10" s="7" t="s">
        <v>68</v>
      </c>
      <c r="B10" s="7" t="s">
        <v>69</v>
      </c>
      <c r="C10" s="7" t="s">
        <v>52</v>
      </c>
      <c r="D10" s="7" t="s">
        <v>70</v>
      </c>
      <c r="E10" s="7" t="s">
        <v>71</v>
      </c>
      <c r="F10" s="8" t="s">
        <v>72</v>
      </c>
      <c r="G10" s="8" t="s">
        <v>73</v>
      </c>
      <c r="H10" s="8" t="s">
        <v>74</v>
      </c>
      <c r="I10" s="9" t="s">
        <v>286</v>
      </c>
      <c r="J10" s="9" t="s">
        <v>41</v>
      </c>
      <c r="K10" s="9">
        <v>185</v>
      </c>
      <c r="L10" s="9">
        <v>4.649</v>
      </c>
      <c r="M10" s="9">
        <v>3</v>
      </c>
      <c r="N10" s="9">
        <v>13</v>
      </c>
      <c r="O10" s="9">
        <v>1.7250000000000001E-2</v>
      </c>
      <c r="P10" s="13">
        <v>2</v>
      </c>
      <c r="Q10" s="13">
        <v>2</v>
      </c>
      <c r="R10" s="13">
        <v>1</v>
      </c>
      <c r="S10" s="13">
        <v>2</v>
      </c>
      <c r="T10" s="18">
        <v>3</v>
      </c>
      <c r="U10" s="13">
        <v>2</v>
      </c>
      <c r="V10" s="13">
        <v>1</v>
      </c>
      <c r="W10" s="9">
        <v>21</v>
      </c>
      <c r="X10" s="9">
        <f t="shared" si="0"/>
        <v>13</v>
      </c>
      <c r="Y10" s="10">
        <f t="shared" si="1"/>
        <v>0.61904761904761907</v>
      </c>
      <c r="Z10" s="7" t="s">
        <v>325</v>
      </c>
      <c r="AA10" s="7" t="s">
        <v>452</v>
      </c>
      <c r="AB10">
        <v>7418</v>
      </c>
      <c r="AC10" t="s">
        <v>287</v>
      </c>
    </row>
    <row r="11" spans="1:29" ht="150" customHeight="1" x14ac:dyDescent="0.2">
      <c r="A11" s="7" t="s">
        <v>77</v>
      </c>
      <c r="B11" s="7" t="s">
        <v>69</v>
      </c>
      <c r="C11" s="7" t="s">
        <v>78</v>
      </c>
      <c r="D11" s="7" t="s">
        <v>79</v>
      </c>
      <c r="E11" s="7" t="s">
        <v>80</v>
      </c>
      <c r="F11" s="8" t="s">
        <v>81</v>
      </c>
      <c r="G11" s="8" t="s">
        <v>82</v>
      </c>
      <c r="H11" s="8" t="s">
        <v>65</v>
      </c>
      <c r="I11" s="9" t="s">
        <v>288</v>
      </c>
      <c r="J11" s="9" t="s">
        <v>41</v>
      </c>
      <c r="K11" s="9">
        <v>207</v>
      </c>
      <c r="L11" s="9">
        <v>4.6459999999999999</v>
      </c>
      <c r="M11" s="9">
        <v>3</v>
      </c>
      <c r="N11" s="9">
        <v>11</v>
      </c>
      <c r="O11" s="9">
        <v>1.494E-2</v>
      </c>
      <c r="P11" s="13">
        <v>2</v>
      </c>
      <c r="Q11" s="13">
        <v>2</v>
      </c>
      <c r="R11" s="13">
        <v>2</v>
      </c>
      <c r="S11" s="13">
        <v>2</v>
      </c>
      <c r="T11" s="18">
        <v>3</v>
      </c>
      <c r="U11" s="13">
        <v>2</v>
      </c>
      <c r="V11" s="13">
        <v>2</v>
      </c>
      <c r="W11" s="9">
        <v>21</v>
      </c>
      <c r="X11" s="9">
        <f t="shared" si="0"/>
        <v>15</v>
      </c>
      <c r="Y11" s="10">
        <f t="shared" si="1"/>
        <v>0.7142857142857143</v>
      </c>
      <c r="Z11" s="7" t="s">
        <v>326</v>
      </c>
      <c r="AA11" s="7" t="s">
        <v>453</v>
      </c>
      <c r="AB11">
        <v>6151</v>
      </c>
      <c r="AC11" t="s">
        <v>289</v>
      </c>
    </row>
    <row r="12" spans="1:29" ht="150" customHeight="1" x14ac:dyDescent="0.2">
      <c r="A12" s="7" t="s">
        <v>85</v>
      </c>
      <c r="B12" s="7" t="s">
        <v>69</v>
      </c>
      <c r="C12" s="7" t="s">
        <v>78</v>
      </c>
      <c r="D12" s="7" t="s">
        <v>86</v>
      </c>
      <c r="E12" s="7" t="s">
        <v>87</v>
      </c>
      <c r="F12" s="8" t="s">
        <v>88</v>
      </c>
      <c r="G12" s="8" t="s">
        <v>89</v>
      </c>
      <c r="H12" s="8" t="s">
        <v>90</v>
      </c>
      <c r="I12" s="9" t="s">
        <v>290</v>
      </c>
      <c r="J12" s="9" t="s">
        <v>41</v>
      </c>
      <c r="K12" s="9">
        <v>171</v>
      </c>
      <c r="L12" s="9">
        <v>3.8340000000000001</v>
      </c>
      <c r="M12" s="9">
        <v>2</v>
      </c>
      <c r="N12" s="9">
        <v>11</v>
      </c>
      <c r="O12" s="9">
        <v>1.171E-2</v>
      </c>
      <c r="P12" s="13">
        <v>2</v>
      </c>
      <c r="Q12" s="13">
        <v>2</v>
      </c>
      <c r="R12" s="13">
        <v>2</v>
      </c>
      <c r="S12" s="13">
        <v>2</v>
      </c>
      <c r="T12" s="18">
        <v>3</v>
      </c>
      <c r="U12" s="13">
        <v>2</v>
      </c>
      <c r="V12" s="13">
        <v>2</v>
      </c>
      <c r="W12" s="9">
        <v>21</v>
      </c>
      <c r="X12" s="9">
        <f t="shared" si="0"/>
        <v>15</v>
      </c>
      <c r="Y12" s="10">
        <f t="shared" si="1"/>
        <v>0.7142857142857143</v>
      </c>
      <c r="Z12" s="7" t="s">
        <v>327</v>
      </c>
      <c r="AA12" s="7" t="s">
        <v>454</v>
      </c>
      <c r="AB12">
        <v>4753</v>
      </c>
      <c r="AC12" t="s">
        <v>291</v>
      </c>
    </row>
    <row r="13" spans="1:29" ht="150" customHeight="1" x14ac:dyDescent="0.2">
      <c r="A13" s="7" t="s">
        <v>93</v>
      </c>
      <c r="B13" s="7" t="s">
        <v>69</v>
      </c>
      <c r="C13" s="7" t="s">
        <v>78</v>
      </c>
      <c r="D13" s="7" t="s">
        <v>94</v>
      </c>
      <c r="E13" s="7" t="s">
        <v>95</v>
      </c>
      <c r="F13" s="8" t="s">
        <v>96</v>
      </c>
      <c r="G13" s="8" t="s">
        <v>97</v>
      </c>
      <c r="H13" s="8" t="s">
        <v>98</v>
      </c>
      <c r="I13" s="9" t="s">
        <v>99</v>
      </c>
      <c r="J13" s="9" t="s">
        <v>41</v>
      </c>
      <c r="K13" s="9">
        <v>174</v>
      </c>
      <c r="L13" s="9">
        <v>4.1349999999999998</v>
      </c>
      <c r="M13" s="9">
        <v>1</v>
      </c>
      <c r="N13" s="9">
        <v>6</v>
      </c>
      <c r="O13" s="9">
        <v>6.4200000000000004E-3</v>
      </c>
      <c r="P13" s="13">
        <v>2</v>
      </c>
      <c r="Q13" s="13">
        <v>2</v>
      </c>
      <c r="R13" s="13">
        <v>2</v>
      </c>
      <c r="S13" s="13">
        <v>2</v>
      </c>
      <c r="T13" s="18">
        <v>3</v>
      </c>
      <c r="U13" s="13">
        <v>3</v>
      </c>
      <c r="V13" s="13">
        <v>2</v>
      </c>
      <c r="W13" s="9">
        <v>21</v>
      </c>
      <c r="X13" s="9">
        <f t="shared" si="0"/>
        <v>16</v>
      </c>
      <c r="Y13" s="10">
        <f t="shared" si="1"/>
        <v>0.76190476190476186</v>
      </c>
      <c r="Z13" s="7" t="s">
        <v>328</v>
      </c>
      <c r="AA13" s="7" t="s">
        <v>455</v>
      </c>
      <c r="AB13">
        <v>2279</v>
      </c>
      <c r="AC13" t="s">
        <v>292</v>
      </c>
    </row>
    <row r="14" spans="1:29" ht="150" customHeight="1" x14ac:dyDescent="0.2">
      <c r="A14" s="7" t="s">
        <v>101</v>
      </c>
      <c r="B14" s="7" t="s">
        <v>102</v>
      </c>
      <c r="C14" s="7" t="s">
        <v>52</v>
      </c>
      <c r="D14" s="7" t="s">
        <v>44</v>
      </c>
      <c r="E14" s="7" t="s">
        <v>103</v>
      </c>
      <c r="F14" s="8" t="s">
        <v>104</v>
      </c>
      <c r="G14" s="8" t="s">
        <v>105</v>
      </c>
      <c r="H14" s="8" t="s">
        <v>489</v>
      </c>
      <c r="I14" s="9" t="s">
        <v>107</v>
      </c>
      <c r="J14" s="9" t="s">
        <v>41</v>
      </c>
      <c r="K14" s="9">
        <v>165</v>
      </c>
      <c r="L14" s="9">
        <v>2.7010000000000001</v>
      </c>
      <c r="M14" s="9">
        <v>1</v>
      </c>
      <c r="N14" s="9">
        <v>6</v>
      </c>
      <c r="O14" s="9">
        <v>7.6E-3</v>
      </c>
      <c r="P14" s="13">
        <v>2</v>
      </c>
      <c r="Q14" s="13">
        <v>2</v>
      </c>
      <c r="R14" s="13">
        <v>2</v>
      </c>
      <c r="S14" s="13">
        <v>2</v>
      </c>
      <c r="T14" s="13">
        <v>2</v>
      </c>
      <c r="U14" s="13">
        <v>2</v>
      </c>
      <c r="V14" s="13">
        <v>2</v>
      </c>
      <c r="W14" s="9">
        <v>21</v>
      </c>
      <c r="X14" s="9">
        <f t="shared" si="0"/>
        <v>14</v>
      </c>
      <c r="Y14" s="10">
        <f t="shared" si="1"/>
        <v>0.66666666666666663</v>
      </c>
      <c r="Z14" s="7" t="s">
        <v>329</v>
      </c>
      <c r="AA14" s="7" t="s">
        <v>456</v>
      </c>
      <c r="AB14">
        <v>2888</v>
      </c>
      <c r="AC14" t="s">
        <v>293</v>
      </c>
    </row>
    <row r="15" spans="1:29" ht="150" customHeight="1" x14ac:dyDescent="0.2">
      <c r="A15" s="7" t="s">
        <v>109</v>
      </c>
      <c r="B15" s="7" t="s">
        <v>102</v>
      </c>
      <c r="C15" s="7" t="s">
        <v>78</v>
      </c>
      <c r="D15" s="7" t="s">
        <v>110</v>
      </c>
      <c r="E15" s="7" t="s">
        <v>111</v>
      </c>
      <c r="F15" s="8" t="s">
        <v>112</v>
      </c>
      <c r="G15" s="8" t="s">
        <v>113</v>
      </c>
      <c r="H15" s="8" t="s">
        <v>114</v>
      </c>
      <c r="I15" s="9" t="s">
        <v>294</v>
      </c>
      <c r="J15" s="9" t="s">
        <v>41</v>
      </c>
      <c r="K15" s="9">
        <v>186</v>
      </c>
      <c r="L15" s="9">
        <v>5.3680000000000003</v>
      </c>
      <c r="M15" s="9">
        <v>3</v>
      </c>
      <c r="N15" s="9">
        <v>12</v>
      </c>
      <c r="O15" s="9">
        <v>1.8020000000000001E-2</v>
      </c>
      <c r="P15" s="13">
        <v>2</v>
      </c>
      <c r="Q15" s="13">
        <v>2</v>
      </c>
      <c r="R15" s="13">
        <v>2</v>
      </c>
      <c r="S15" s="13">
        <v>2</v>
      </c>
      <c r="T15" s="18">
        <v>3</v>
      </c>
      <c r="U15" s="13">
        <v>2</v>
      </c>
      <c r="V15" s="13">
        <v>2</v>
      </c>
      <c r="W15" s="9">
        <v>21</v>
      </c>
      <c r="X15" s="9">
        <f t="shared" si="0"/>
        <v>15</v>
      </c>
      <c r="Y15" s="10">
        <f t="shared" si="1"/>
        <v>0.7142857142857143</v>
      </c>
      <c r="Z15" s="7" t="s">
        <v>330</v>
      </c>
      <c r="AA15" s="7" t="s">
        <v>457</v>
      </c>
      <c r="AB15">
        <v>7641</v>
      </c>
      <c r="AC15" t="s">
        <v>295</v>
      </c>
    </row>
    <row r="16" spans="1:29" ht="150" customHeight="1" x14ac:dyDescent="0.2">
      <c r="A16" s="7" t="s">
        <v>117</v>
      </c>
      <c r="B16" s="7" t="s">
        <v>102</v>
      </c>
      <c r="C16" s="7" t="s">
        <v>78</v>
      </c>
      <c r="D16" s="7" t="s">
        <v>118</v>
      </c>
      <c r="E16" s="7" t="s">
        <v>119</v>
      </c>
      <c r="F16" s="8" t="s">
        <v>120</v>
      </c>
      <c r="G16" s="8" t="s">
        <v>121</v>
      </c>
      <c r="H16" s="8" t="s">
        <v>122</v>
      </c>
      <c r="I16" s="9" t="s">
        <v>296</v>
      </c>
      <c r="J16" s="9" t="s">
        <v>41</v>
      </c>
      <c r="K16" s="9">
        <v>240</v>
      </c>
      <c r="L16" s="9">
        <v>4.992</v>
      </c>
      <c r="M16" s="9">
        <v>2</v>
      </c>
      <c r="N16" s="9">
        <v>10</v>
      </c>
      <c r="O16" s="9">
        <v>1.238E-2</v>
      </c>
      <c r="P16" s="13">
        <v>2</v>
      </c>
      <c r="Q16" s="13">
        <v>2</v>
      </c>
      <c r="R16" s="13">
        <v>2</v>
      </c>
      <c r="S16" s="13">
        <v>2</v>
      </c>
      <c r="T16" s="18">
        <v>3</v>
      </c>
      <c r="U16" s="13">
        <v>3</v>
      </c>
      <c r="V16" s="13">
        <v>2</v>
      </c>
      <c r="W16" s="9">
        <v>21</v>
      </c>
      <c r="X16" s="9">
        <f t="shared" si="0"/>
        <v>16</v>
      </c>
      <c r="Y16" s="10">
        <f t="shared" si="1"/>
        <v>0.76190476190476186</v>
      </c>
      <c r="Z16" s="7" t="s">
        <v>331</v>
      </c>
      <c r="AA16" s="7" t="s">
        <v>458</v>
      </c>
      <c r="AB16">
        <v>4853</v>
      </c>
      <c r="AC16" t="s">
        <v>297</v>
      </c>
    </row>
    <row r="17" spans="1:29" ht="150" customHeight="1" x14ac:dyDescent="0.2">
      <c r="A17" s="7" t="s">
        <v>125</v>
      </c>
      <c r="B17" s="7" t="s">
        <v>102</v>
      </c>
      <c r="C17" s="7" t="s">
        <v>78</v>
      </c>
      <c r="D17" s="7" t="s">
        <v>126</v>
      </c>
      <c r="E17" s="7" t="s">
        <v>127</v>
      </c>
      <c r="F17" s="8" t="s">
        <v>128</v>
      </c>
      <c r="G17" s="8" t="s">
        <v>129</v>
      </c>
      <c r="H17" s="8" t="s">
        <v>130</v>
      </c>
      <c r="I17" s="9" t="s">
        <v>298</v>
      </c>
      <c r="J17" s="9" t="s">
        <v>41</v>
      </c>
      <c r="K17" s="9">
        <v>227</v>
      </c>
      <c r="L17" s="9">
        <v>5.5709999999999997</v>
      </c>
      <c r="M17" s="9">
        <v>3</v>
      </c>
      <c r="N17" s="9">
        <v>11</v>
      </c>
      <c r="O17" s="9">
        <v>1.451E-2</v>
      </c>
      <c r="P17" s="13">
        <v>2</v>
      </c>
      <c r="Q17" s="13">
        <v>1</v>
      </c>
      <c r="R17" s="13">
        <v>2</v>
      </c>
      <c r="S17" s="13">
        <v>2</v>
      </c>
      <c r="T17" s="18">
        <v>3</v>
      </c>
      <c r="U17" s="13">
        <v>2</v>
      </c>
      <c r="V17" s="13">
        <v>2</v>
      </c>
      <c r="W17" s="9">
        <v>21</v>
      </c>
      <c r="X17" s="9">
        <f t="shared" si="0"/>
        <v>14</v>
      </c>
      <c r="Y17" s="10">
        <f t="shared" si="1"/>
        <v>0.66666666666666663</v>
      </c>
      <c r="Z17" s="7" t="s">
        <v>332</v>
      </c>
      <c r="AA17" s="7" t="s">
        <v>459</v>
      </c>
      <c r="AB17">
        <v>5951</v>
      </c>
      <c r="AC17" t="s">
        <v>299</v>
      </c>
    </row>
    <row r="18" spans="1:29" ht="150" customHeight="1" x14ac:dyDescent="0.2">
      <c r="A18" s="7" t="s">
        <v>133</v>
      </c>
      <c r="B18" s="7" t="s">
        <v>134</v>
      </c>
      <c r="C18" s="7" t="s">
        <v>52</v>
      </c>
      <c r="D18" s="7" t="s">
        <v>44</v>
      </c>
      <c r="E18" s="7" t="s">
        <v>135</v>
      </c>
      <c r="F18" s="8" t="s">
        <v>136</v>
      </c>
      <c r="G18" s="8" t="s">
        <v>137</v>
      </c>
      <c r="H18" s="8" t="s">
        <v>138</v>
      </c>
      <c r="I18" s="9" t="s">
        <v>300</v>
      </c>
      <c r="J18" s="9" t="s">
        <v>41</v>
      </c>
      <c r="K18" s="9">
        <v>219</v>
      </c>
      <c r="L18" s="9">
        <v>5.431</v>
      </c>
      <c r="M18" s="9">
        <v>3</v>
      </c>
      <c r="N18" s="9">
        <v>10</v>
      </c>
      <c r="O18" s="9">
        <v>1.431E-2</v>
      </c>
      <c r="P18" s="13">
        <v>2</v>
      </c>
      <c r="Q18" s="13">
        <v>2</v>
      </c>
      <c r="R18" s="13">
        <v>2</v>
      </c>
      <c r="S18" s="13">
        <v>2</v>
      </c>
      <c r="T18" s="18">
        <v>3</v>
      </c>
      <c r="U18" s="13">
        <v>2</v>
      </c>
      <c r="V18" s="13">
        <v>1</v>
      </c>
      <c r="W18" s="9">
        <v>21</v>
      </c>
      <c r="X18" s="9">
        <f t="shared" si="0"/>
        <v>14</v>
      </c>
      <c r="Y18" s="10">
        <f t="shared" si="1"/>
        <v>0.66666666666666663</v>
      </c>
      <c r="Z18" s="7" t="s">
        <v>388</v>
      </c>
      <c r="AA18" s="7" t="s">
        <v>460</v>
      </c>
      <c r="AB18">
        <v>5830</v>
      </c>
      <c r="AC18" t="s">
        <v>301</v>
      </c>
    </row>
    <row r="19" spans="1:29" ht="150" customHeight="1" x14ac:dyDescent="0.2">
      <c r="A19" s="7" t="s">
        <v>141</v>
      </c>
      <c r="B19" s="7" t="s">
        <v>134</v>
      </c>
      <c r="C19" s="7" t="s">
        <v>78</v>
      </c>
      <c r="D19" s="7" t="s">
        <v>142</v>
      </c>
      <c r="E19" s="7" t="s">
        <v>143</v>
      </c>
      <c r="F19" s="8" t="s">
        <v>144</v>
      </c>
      <c r="G19" s="8" t="s">
        <v>481</v>
      </c>
      <c r="H19" s="8" t="s">
        <v>482</v>
      </c>
      <c r="I19" s="9" t="s">
        <v>302</v>
      </c>
      <c r="J19" s="9" t="s">
        <v>41</v>
      </c>
      <c r="K19" s="9">
        <v>174</v>
      </c>
      <c r="L19" s="9">
        <v>14.205</v>
      </c>
      <c r="M19" s="9">
        <v>3</v>
      </c>
      <c r="N19" s="9">
        <v>13</v>
      </c>
      <c r="O19" s="9">
        <v>1.5720000000000001E-2</v>
      </c>
      <c r="P19" s="13">
        <v>2</v>
      </c>
      <c r="Q19" s="13">
        <v>2</v>
      </c>
      <c r="R19" s="13">
        <v>2</v>
      </c>
      <c r="S19" s="13">
        <v>2</v>
      </c>
      <c r="T19" s="16">
        <v>2</v>
      </c>
      <c r="U19" s="13">
        <v>3</v>
      </c>
      <c r="V19" s="13">
        <v>2</v>
      </c>
      <c r="W19" s="9">
        <v>21</v>
      </c>
      <c r="X19" s="9">
        <f t="shared" si="0"/>
        <v>15</v>
      </c>
      <c r="Y19" s="10">
        <f t="shared" si="1"/>
        <v>0.7142857142857143</v>
      </c>
      <c r="Z19" s="7" t="s">
        <v>389</v>
      </c>
      <c r="AA19" s="7" t="s">
        <v>461</v>
      </c>
      <c r="AB19">
        <v>6593</v>
      </c>
      <c r="AC19" t="s">
        <v>303</v>
      </c>
    </row>
    <row r="20" spans="1:29" ht="150" customHeight="1" x14ac:dyDescent="0.2">
      <c r="A20" s="7" t="s">
        <v>149</v>
      </c>
      <c r="B20" s="7" t="s">
        <v>134</v>
      </c>
      <c r="C20" s="7" t="s">
        <v>78</v>
      </c>
      <c r="D20" s="7" t="s">
        <v>150</v>
      </c>
      <c r="E20" s="7" t="s">
        <v>151</v>
      </c>
      <c r="F20" s="8" t="s">
        <v>152</v>
      </c>
      <c r="G20" s="8" t="s">
        <v>153</v>
      </c>
      <c r="H20" s="8" t="s">
        <v>154</v>
      </c>
      <c r="I20" s="9" t="s">
        <v>304</v>
      </c>
      <c r="J20" s="9" t="s">
        <v>41</v>
      </c>
      <c r="K20" s="9">
        <v>168</v>
      </c>
      <c r="L20" s="9">
        <v>4.6509999999999998</v>
      </c>
      <c r="M20" s="9">
        <v>3</v>
      </c>
      <c r="N20" s="9">
        <v>13</v>
      </c>
      <c r="O20" s="9">
        <v>1.436E-2</v>
      </c>
      <c r="P20" s="13">
        <v>2</v>
      </c>
      <c r="Q20" s="13">
        <v>2</v>
      </c>
      <c r="R20" s="13">
        <v>2</v>
      </c>
      <c r="S20" s="13">
        <v>2</v>
      </c>
      <c r="T20" s="18">
        <v>3</v>
      </c>
      <c r="U20" s="13">
        <v>2</v>
      </c>
      <c r="V20" s="13">
        <v>2</v>
      </c>
      <c r="W20" s="9">
        <v>21</v>
      </c>
      <c r="X20" s="9">
        <f t="shared" si="0"/>
        <v>15</v>
      </c>
      <c r="Y20" s="10">
        <f t="shared" si="1"/>
        <v>0.7142857142857143</v>
      </c>
      <c r="Z20" s="7" t="s">
        <v>333</v>
      </c>
      <c r="AA20" s="7" t="s">
        <v>462</v>
      </c>
      <c r="AB20">
        <v>6036</v>
      </c>
      <c r="AC20" t="s">
        <v>305</v>
      </c>
    </row>
    <row r="21" spans="1:29" ht="150" customHeight="1" x14ac:dyDescent="0.2">
      <c r="A21" s="7" t="s">
        <v>157</v>
      </c>
      <c r="B21" s="7" t="s">
        <v>134</v>
      </c>
      <c r="C21" s="7" t="s">
        <v>78</v>
      </c>
      <c r="D21" s="7" t="s">
        <v>158</v>
      </c>
      <c r="E21" s="7" t="s">
        <v>159</v>
      </c>
      <c r="F21" s="8"/>
      <c r="G21" s="8"/>
      <c r="H21" s="8" t="s">
        <v>483</v>
      </c>
      <c r="I21" s="9" t="s">
        <v>306</v>
      </c>
      <c r="J21" s="9" t="s">
        <v>41</v>
      </c>
      <c r="K21" s="9">
        <v>177</v>
      </c>
      <c r="L21" s="9">
        <v>7.7009999999999996</v>
      </c>
      <c r="M21" s="9">
        <v>2</v>
      </c>
      <c r="N21" s="9">
        <v>10</v>
      </c>
      <c r="O21" s="9">
        <v>1.0619999999999999E-2</v>
      </c>
      <c r="P21" s="13">
        <v>2</v>
      </c>
      <c r="Q21" s="13">
        <v>3</v>
      </c>
      <c r="R21" s="13">
        <v>2</v>
      </c>
      <c r="S21" s="13">
        <v>2</v>
      </c>
      <c r="T21" s="18">
        <v>2</v>
      </c>
      <c r="U21" s="13">
        <v>3</v>
      </c>
      <c r="V21" s="13">
        <v>2</v>
      </c>
      <c r="W21" s="9">
        <v>21</v>
      </c>
      <c r="X21" s="9">
        <f t="shared" si="0"/>
        <v>16</v>
      </c>
      <c r="Y21" s="10">
        <f t="shared" si="1"/>
        <v>0.76190476190476186</v>
      </c>
      <c r="Z21" s="7" t="s">
        <v>390</v>
      </c>
      <c r="AA21" s="7" t="s">
        <v>463</v>
      </c>
      <c r="AB21">
        <v>4456</v>
      </c>
      <c r="AC21" t="s">
        <v>307</v>
      </c>
    </row>
    <row r="22" spans="1:29" ht="150" customHeight="1" x14ac:dyDescent="0.2">
      <c r="A22" s="7" t="s">
        <v>163</v>
      </c>
      <c r="B22" s="7" t="s">
        <v>164</v>
      </c>
      <c r="C22" s="7" t="s">
        <v>52</v>
      </c>
      <c r="D22" s="7" t="s">
        <v>165</v>
      </c>
      <c r="E22" s="7" t="s">
        <v>166</v>
      </c>
      <c r="F22" s="8"/>
      <c r="G22" s="8" t="s">
        <v>474</v>
      </c>
      <c r="H22" s="8" t="s">
        <v>473</v>
      </c>
      <c r="I22" s="9" t="s">
        <v>308</v>
      </c>
      <c r="J22" s="9" t="s">
        <v>41</v>
      </c>
      <c r="K22" s="9">
        <v>152</v>
      </c>
      <c r="L22" s="9">
        <v>13.336</v>
      </c>
      <c r="M22" s="9">
        <v>3</v>
      </c>
      <c r="N22" s="9">
        <v>14</v>
      </c>
      <c r="O22" s="9">
        <v>1.7469999999999999E-2</v>
      </c>
      <c r="P22" s="13">
        <v>2</v>
      </c>
      <c r="Q22" s="13">
        <v>2</v>
      </c>
      <c r="R22" s="13">
        <v>2</v>
      </c>
      <c r="S22" s="15" t="s">
        <v>170</v>
      </c>
      <c r="T22" s="15" t="s">
        <v>170</v>
      </c>
      <c r="U22" s="13">
        <v>3</v>
      </c>
      <c r="V22" s="13">
        <v>2</v>
      </c>
      <c r="W22" s="9">
        <v>15</v>
      </c>
      <c r="X22" s="9">
        <f t="shared" si="0"/>
        <v>11</v>
      </c>
      <c r="Y22" s="10">
        <f>IF(X22="","",X22/15)</f>
        <v>0.73333333333333328</v>
      </c>
      <c r="Z22" s="7" t="s">
        <v>391</v>
      </c>
      <c r="AA22" s="7" t="s">
        <v>464</v>
      </c>
      <c r="AB22">
        <v>7752</v>
      </c>
      <c r="AC22" t="s">
        <v>309</v>
      </c>
    </row>
    <row r="23" spans="1:29" ht="150" customHeight="1" x14ac:dyDescent="0.2">
      <c r="A23" s="7" t="s">
        <v>172</v>
      </c>
      <c r="B23" s="7" t="s">
        <v>164</v>
      </c>
      <c r="C23" s="7" t="s">
        <v>78</v>
      </c>
      <c r="D23" s="7" t="s">
        <v>173</v>
      </c>
      <c r="E23" s="7" t="s">
        <v>174</v>
      </c>
      <c r="F23" s="8"/>
      <c r="G23" s="8" t="s">
        <v>488</v>
      </c>
      <c r="H23" s="8" t="s">
        <v>484</v>
      </c>
      <c r="I23" s="9" t="s">
        <v>310</v>
      </c>
      <c r="J23" s="9" t="s">
        <v>41</v>
      </c>
      <c r="K23" s="9">
        <v>198</v>
      </c>
      <c r="L23" s="9">
        <v>11.714</v>
      </c>
      <c r="M23" s="9">
        <v>3</v>
      </c>
      <c r="N23" s="9">
        <v>12</v>
      </c>
      <c r="O23" s="9">
        <v>1.5219999999999999E-2</v>
      </c>
      <c r="P23" s="16">
        <v>2</v>
      </c>
      <c r="Q23" s="13">
        <v>3</v>
      </c>
      <c r="R23" s="13">
        <v>2</v>
      </c>
      <c r="S23" s="15" t="s">
        <v>170</v>
      </c>
      <c r="T23" s="15" t="s">
        <v>170</v>
      </c>
      <c r="U23" s="13">
        <v>3</v>
      </c>
      <c r="V23" s="13">
        <v>2</v>
      </c>
      <c r="W23" s="9">
        <v>15</v>
      </c>
      <c r="X23" s="9">
        <f t="shared" si="0"/>
        <v>12</v>
      </c>
      <c r="Y23" s="10">
        <f>IF(X23="","",X23/15)</f>
        <v>0.8</v>
      </c>
      <c r="Z23" s="7" t="s">
        <v>392</v>
      </c>
      <c r="AA23" s="7" t="s">
        <v>465</v>
      </c>
      <c r="AB23">
        <v>6461</v>
      </c>
      <c r="AC23" t="s">
        <v>311</v>
      </c>
    </row>
    <row r="24" spans="1:29" ht="150" customHeight="1" x14ac:dyDescent="0.2">
      <c r="A24" s="7" t="s">
        <v>179</v>
      </c>
      <c r="B24" s="7" t="s">
        <v>164</v>
      </c>
      <c r="C24" s="7" t="s">
        <v>34</v>
      </c>
      <c r="D24" s="7" t="s">
        <v>180</v>
      </c>
      <c r="E24" s="7" t="s">
        <v>181</v>
      </c>
      <c r="F24" s="8"/>
      <c r="G24" s="8" t="s">
        <v>477</v>
      </c>
      <c r="H24" s="8" t="s">
        <v>478</v>
      </c>
      <c r="I24" s="9" t="s">
        <v>312</v>
      </c>
      <c r="J24" s="9" t="s">
        <v>41</v>
      </c>
      <c r="K24" s="9">
        <v>161</v>
      </c>
      <c r="L24" s="9">
        <v>7.1079999999999997</v>
      </c>
      <c r="M24" s="9">
        <v>3</v>
      </c>
      <c r="N24" s="9">
        <v>8</v>
      </c>
      <c r="O24" s="9">
        <v>1.2279999999999999E-2</v>
      </c>
      <c r="P24" s="13">
        <v>2</v>
      </c>
      <c r="Q24" s="18">
        <v>3</v>
      </c>
      <c r="R24" s="13">
        <v>2</v>
      </c>
      <c r="S24" s="15" t="s">
        <v>170</v>
      </c>
      <c r="T24" s="15" t="s">
        <v>170</v>
      </c>
      <c r="U24" s="18">
        <v>3</v>
      </c>
      <c r="V24" s="18">
        <v>2</v>
      </c>
      <c r="W24" s="9">
        <v>15</v>
      </c>
      <c r="X24" s="9">
        <f t="shared" si="0"/>
        <v>12</v>
      </c>
      <c r="Y24" s="10">
        <f>IF(X24="","",X24/15)</f>
        <v>0.8</v>
      </c>
      <c r="Z24" s="7" t="s">
        <v>393</v>
      </c>
      <c r="AA24" s="7" t="s">
        <v>466</v>
      </c>
      <c r="AB24">
        <v>5314</v>
      </c>
      <c r="AC24" t="s">
        <v>313</v>
      </c>
    </row>
    <row r="25" spans="1:29" ht="150" customHeight="1" x14ac:dyDescent="0.2">
      <c r="A25" s="7" t="s">
        <v>186</v>
      </c>
      <c r="B25" s="7" t="s">
        <v>187</v>
      </c>
      <c r="C25" s="7" t="s">
        <v>78</v>
      </c>
      <c r="D25" s="7" t="s">
        <v>188</v>
      </c>
      <c r="E25" s="7" t="s">
        <v>189</v>
      </c>
      <c r="F25" s="8"/>
      <c r="G25" s="8" t="s">
        <v>487</v>
      </c>
      <c r="H25" s="8" t="s">
        <v>479</v>
      </c>
      <c r="I25" s="9" t="s">
        <v>314</v>
      </c>
      <c r="J25" s="9" t="s">
        <v>41</v>
      </c>
      <c r="K25" s="9">
        <v>192</v>
      </c>
      <c r="L25" s="9">
        <v>10.587999999999999</v>
      </c>
      <c r="M25" s="9">
        <v>3</v>
      </c>
      <c r="N25" s="9">
        <v>10</v>
      </c>
      <c r="O25" s="9">
        <v>1.494E-2</v>
      </c>
      <c r="P25" s="13">
        <v>2</v>
      </c>
      <c r="Q25" s="13">
        <v>1</v>
      </c>
      <c r="R25" s="13">
        <v>2</v>
      </c>
      <c r="S25" s="15" t="s">
        <v>170</v>
      </c>
      <c r="T25" s="15" t="s">
        <v>170</v>
      </c>
      <c r="U25" s="13">
        <v>2</v>
      </c>
      <c r="V25" s="13">
        <v>1</v>
      </c>
      <c r="W25" s="9">
        <v>15</v>
      </c>
      <c r="X25" s="9">
        <f t="shared" si="0"/>
        <v>8</v>
      </c>
      <c r="Y25" s="10">
        <f>IF(X25="","",X25/15)</f>
        <v>0.53333333333333333</v>
      </c>
      <c r="Z25" s="7" t="s">
        <v>394</v>
      </c>
      <c r="AA25" s="7" t="s">
        <v>467</v>
      </c>
      <c r="AB25">
        <v>6358</v>
      </c>
      <c r="AC25" t="s">
        <v>315</v>
      </c>
    </row>
    <row r="27" spans="1:29" x14ac:dyDescent="0.2">
      <c r="C27" s="20" t="s">
        <v>194</v>
      </c>
      <c r="E27" s="6" t="s">
        <v>195</v>
      </c>
      <c r="X27" s="25">
        <f>IFERROR(AVERAGE(X6:X21),"")</f>
        <v>14.625</v>
      </c>
      <c r="Y27" s="25"/>
    </row>
    <row r="28" spans="1:29" x14ac:dyDescent="0.2">
      <c r="C28" s="20" t="s">
        <v>196</v>
      </c>
      <c r="E28" s="6" t="s">
        <v>197</v>
      </c>
      <c r="X28" s="25">
        <f>IFERROR(AVERAGE(X22:X25),"")</f>
        <v>10.75</v>
      </c>
      <c r="Y28" s="25"/>
    </row>
    <row r="29" spans="1:29" x14ac:dyDescent="0.2">
      <c r="C29" s="20" t="s">
        <v>198</v>
      </c>
      <c r="E29" s="6" t="s">
        <v>198</v>
      </c>
      <c r="X29" s="25"/>
      <c r="Y29" s="26">
        <f>IFERROR(AVERAGE(Y6:Y25),"")</f>
        <v>0.70047619047619047</v>
      </c>
    </row>
    <row r="30" spans="1:29" ht="16" x14ac:dyDescent="0.2">
      <c r="C30" s="17"/>
    </row>
    <row r="31" spans="1:29" ht="46" customHeight="1" x14ac:dyDescent="0.2">
      <c r="C31" s="31"/>
      <c r="D31" s="29"/>
      <c r="E31" s="29"/>
      <c r="F31" s="29"/>
      <c r="G31" s="29"/>
      <c r="H31" s="29"/>
      <c r="I31" s="29"/>
      <c r="J31" s="29"/>
      <c r="K31" s="29"/>
      <c r="L31" s="29"/>
      <c r="M31" s="29"/>
      <c r="N31" s="29"/>
      <c r="O31" s="29"/>
      <c r="P31" s="29"/>
      <c r="Q31" s="29"/>
      <c r="R31" s="29"/>
      <c r="S31" s="29"/>
      <c r="T31" s="29"/>
      <c r="U31" s="29"/>
      <c r="V31" s="29"/>
      <c r="W31" s="29"/>
      <c r="X31" s="29"/>
      <c r="Y31" s="29"/>
    </row>
    <row r="33" spans="3:25" ht="46" customHeight="1" x14ac:dyDescent="0.2">
      <c r="C33" s="31"/>
      <c r="D33" s="29"/>
      <c r="E33" s="29"/>
      <c r="F33" s="29"/>
      <c r="G33" s="29"/>
      <c r="H33" s="29"/>
      <c r="I33" s="29"/>
      <c r="J33" s="29"/>
      <c r="K33" s="29"/>
      <c r="L33" s="29"/>
      <c r="M33" s="29"/>
      <c r="N33" s="29"/>
      <c r="O33" s="29"/>
      <c r="P33" s="29"/>
      <c r="Q33" s="29"/>
      <c r="R33" s="29"/>
      <c r="S33" s="29"/>
      <c r="T33" s="29"/>
      <c r="U33" s="29"/>
      <c r="V33" s="29"/>
      <c r="W33" s="29"/>
      <c r="X33" s="29"/>
      <c r="Y33" s="29"/>
    </row>
    <row r="35" spans="3:25" ht="46" customHeight="1" x14ac:dyDescent="0.2">
      <c r="C35" s="31"/>
      <c r="D35" s="29"/>
      <c r="E35" s="29"/>
      <c r="F35" s="29"/>
      <c r="G35" s="29"/>
      <c r="H35" s="29"/>
      <c r="I35" s="29"/>
      <c r="J35" s="29"/>
      <c r="K35" s="29"/>
      <c r="L35" s="29"/>
      <c r="M35" s="29"/>
      <c r="N35" s="29"/>
      <c r="O35" s="29"/>
      <c r="P35" s="29"/>
      <c r="Q35" s="29"/>
      <c r="R35" s="29"/>
      <c r="S35" s="29"/>
      <c r="T35" s="29"/>
      <c r="U35" s="29"/>
      <c r="V35" s="29"/>
      <c r="W35" s="29"/>
      <c r="X35" s="29"/>
      <c r="Y35" s="29"/>
    </row>
    <row r="37" spans="3:25" ht="46" customHeight="1" x14ac:dyDescent="0.2">
      <c r="C37" s="31"/>
      <c r="D37" s="29"/>
      <c r="E37" s="29"/>
      <c r="F37" s="29"/>
      <c r="G37" s="29"/>
      <c r="H37" s="29"/>
      <c r="I37" s="29"/>
      <c r="J37" s="29"/>
      <c r="K37" s="29"/>
      <c r="L37" s="29"/>
      <c r="M37" s="29"/>
      <c r="N37" s="29"/>
      <c r="O37" s="29"/>
      <c r="P37" s="29"/>
      <c r="Q37" s="29"/>
      <c r="R37" s="29"/>
      <c r="S37" s="29"/>
      <c r="T37" s="29"/>
      <c r="U37" s="29"/>
      <c r="V37" s="29"/>
      <c r="W37" s="29"/>
      <c r="X37" s="29"/>
      <c r="Y37" s="29"/>
    </row>
    <row r="39" spans="3:25" ht="46" customHeight="1" x14ac:dyDescent="0.2">
      <c r="C39" s="31"/>
      <c r="D39" s="29"/>
      <c r="E39" s="29"/>
      <c r="F39" s="29"/>
      <c r="G39" s="29"/>
      <c r="H39" s="29"/>
      <c r="I39" s="29"/>
      <c r="J39" s="29"/>
      <c r="K39" s="29"/>
      <c r="L39" s="29"/>
      <c r="M39" s="29"/>
      <c r="N39" s="29"/>
      <c r="O39" s="29"/>
      <c r="P39" s="29"/>
      <c r="Q39" s="29"/>
      <c r="R39" s="29"/>
      <c r="S39" s="29"/>
      <c r="T39" s="29"/>
      <c r="U39" s="29"/>
      <c r="V39" s="29"/>
      <c r="W39" s="29"/>
      <c r="X39" s="29"/>
      <c r="Y39" s="29"/>
    </row>
  </sheetData>
  <mergeCells count="8">
    <mergeCell ref="C31:Y31"/>
    <mergeCell ref="C39:Y39"/>
    <mergeCell ref="C35:Y35"/>
    <mergeCell ref="I4:O4"/>
    <mergeCell ref="F4:H4"/>
    <mergeCell ref="P4:Y4"/>
    <mergeCell ref="C33:Y33"/>
    <mergeCell ref="C37:Y3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System 1 v2</vt:lpstr>
      <vt:lpstr>System 2 v2</vt:lpstr>
      <vt:lpstr>System 3 v2</vt:lpstr>
      <vt:lpstr>System 4 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Fenton Woolf</dc:creator>
  <cp:lastModifiedBy>Fenton Woolf</cp:lastModifiedBy>
  <dcterms:created xsi:type="dcterms:W3CDTF">2026-08-22T19:38:55Z</dcterms:created>
  <dcterms:modified xsi:type="dcterms:W3CDTF">2026-09-13T17:32:47Z</dcterms:modified>
</cp:coreProperties>
</file>